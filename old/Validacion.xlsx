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<sst xmlns="http://schemas.openxmlformats.org/spreadsheetml/2006/main" count="258" uniqueCount="258">
  <si>
    <t xml:space="preserve">CPI</t>
  </si>
  <si>
    <t xml:space="preserve">100*ln(CPI)</t>
  </si>
  <si>
    <t xml:space="preserve">alter</t>
  </si>
  <si>
    <t xml:space="preserve">log P</t>
  </si>
  <si>
    <t xml:space="preserve">Seas</t>
  </si>
  <si>
    <t xml:space="preserve">log P- Seas</t>
  </si>
  <si>
    <t xml:space="preserve">Parametros estimados  →</t>
  </si>
  <si>
    <t xml:space="preserve"> 1/2002</t>
  </si>
  <si>
    <t xml:space="preserve"> 2/2002</t>
  </si>
  <si>
    <t xml:space="preserve"> 3/2002</t>
  </si>
  <si>
    <t xml:space="preserve"> 4/2002</t>
  </si>
  <si>
    <t xml:space="preserve"> 5/2002</t>
  </si>
  <si>
    <t xml:space="preserve"> 6/2002</t>
  </si>
  <si>
    <t xml:space="preserve"> 7/2002</t>
  </si>
  <si>
    <t xml:space="preserve"> 8/2002</t>
  </si>
  <si>
    <t xml:space="preserve"> 9/2002</t>
  </si>
  <si>
    <t xml:space="preserve">10/2002</t>
  </si>
  <si>
    <t xml:space="preserve">11/2002</t>
  </si>
  <si>
    <t xml:space="preserve">12/2002</t>
  </si>
  <si>
    <t xml:space="preserve"> 1/2003</t>
  </si>
  <si>
    <t xml:space="preserve"> 2/2003</t>
  </si>
  <si>
    <t xml:space="preserve"> 3/2003</t>
  </si>
  <si>
    <t xml:space="preserve"> 4/2003</t>
  </si>
  <si>
    <t xml:space="preserve"> 5/2003</t>
  </si>
  <si>
    <t xml:space="preserve"> 6/2003</t>
  </si>
  <si>
    <t xml:space="preserve"> 7/2003</t>
  </si>
  <si>
    <t xml:space="preserve"> 8/2003</t>
  </si>
  <si>
    <t xml:space="preserve"> 9/2003</t>
  </si>
  <si>
    <t xml:space="preserve">10/2003</t>
  </si>
  <si>
    <t xml:space="preserve">11/2003</t>
  </si>
  <si>
    <t xml:space="preserve">12/2003</t>
  </si>
  <si>
    <t xml:space="preserve"> 1/2004</t>
  </si>
  <si>
    <t xml:space="preserve"> 2/2004</t>
  </si>
  <si>
    <t xml:space="preserve"> 3/2004</t>
  </si>
  <si>
    <t xml:space="preserve"> 4/2004</t>
  </si>
  <si>
    <t xml:space="preserve"> 5/2004</t>
  </si>
  <si>
    <t xml:space="preserve"> 6/2004</t>
  </si>
  <si>
    <t xml:space="preserve"> 7/2004</t>
  </si>
  <si>
    <t xml:space="preserve"> 8/2004</t>
  </si>
  <si>
    <t xml:space="preserve"> 9/2004</t>
  </si>
  <si>
    <t xml:space="preserve">10/2004</t>
  </si>
  <si>
    <t xml:space="preserve">11/2004</t>
  </si>
  <si>
    <t xml:space="preserve">12/2004</t>
  </si>
  <si>
    <t xml:space="preserve"> 1/2005</t>
  </si>
  <si>
    <t xml:space="preserve"> 2/2005</t>
  </si>
  <si>
    <t xml:space="preserve"> 3/2005</t>
  </si>
  <si>
    <t xml:space="preserve"> 4/2005</t>
  </si>
  <si>
    <t xml:space="preserve"> 5/2005</t>
  </si>
  <si>
    <t xml:space="preserve"> 6/2005</t>
  </si>
  <si>
    <t xml:space="preserve"> 7/2005</t>
  </si>
  <si>
    <t xml:space="preserve"> 8/2005</t>
  </si>
  <si>
    <t xml:space="preserve"> 9/2005</t>
  </si>
  <si>
    <t xml:space="preserve">10/2005</t>
  </si>
  <si>
    <t xml:space="preserve">11/2005</t>
  </si>
  <si>
    <t xml:space="preserve">12/2005</t>
  </si>
  <si>
    <t xml:space="preserve"> 1/2006</t>
  </si>
  <si>
    <t xml:space="preserve"> 2/2006</t>
  </si>
  <si>
    <t xml:space="preserve"> 3/2006</t>
  </si>
  <si>
    <t xml:space="preserve"> 4/2006</t>
  </si>
  <si>
    <t xml:space="preserve"> 5/2006</t>
  </si>
  <si>
    <t xml:space="preserve"> 6/2006</t>
  </si>
  <si>
    <t xml:space="preserve"> 7/2006</t>
  </si>
  <si>
    <t xml:space="preserve"> 8/2006</t>
  </si>
  <si>
    <t xml:space="preserve"> 9/2006</t>
  </si>
  <si>
    <t xml:space="preserve">10/2006</t>
  </si>
  <si>
    <t xml:space="preserve">11/2006</t>
  </si>
  <si>
    <t xml:space="preserve">12/2006</t>
  </si>
  <si>
    <t xml:space="preserve"> 1/2007</t>
  </si>
  <si>
    <t xml:space="preserve"> 2/2007</t>
  </si>
  <si>
    <t xml:space="preserve"> 3/2007</t>
  </si>
  <si>
    <t xml:space="preserve"> 4/2007</t>
  </si>
  <si>
    <t xml:space="preserve"> 5/2007</t>
  </si>
  <si>
    <t xml:space="preserve"> 6/2007</t>
  </si>
  <si>
    <t xml:space="preserve"> 7/2007</t>
  </si>
  <si>
    <t xml:space="preserve"> 8/2007</t>
  </si>
  <si>
    <t xml:space="preserve"> 9/2007</t>
  </si>
  <si>
    <t xml:space="preserve">10/2007</t>
  </si>
  <si>
    <t xml:space="preserve">11/2007</t>
  </si>
  <si>
    <t xml:space="preserve">12/2007</t>
  </si>
  <si>
    <t xml:space="preserve"> 1/2008</t>
  </si>
  <si>
    <t xml:space="preserve"> 2/2008</t>
  </si>
  <si>
    <t xml:space="preserve"> 3/2008</t>
  </si>
  <si>
    <t xml:space="preserve"> 4/2008</t>
  </si>
  <si>
    <t xml:space="preserve"> 5/2008</t>
  </si>
  <si>
    <t xml:space="preserve"> 6/2008</t>
  </si>
  <si>
    <t xml:space="preserve"> 7/2008</t>
  </si>
  <si>
    <t xml:space="preserve"> 8/2008</t>
  </si>
  <si>
    <t xml:space="preserve"> 9/2008</t>
  </si>
  <si>
    <t xml:space="preserve">10/2008</t>
  </si>
  <si>
    <t xml:space="preserve">11/2008</t>
  </si>
  <si>
    <t xml:space="preserve">12/2008</t>
  </si>
  <si>
    <t xml:space="preserve"> 1/2009</t>
  </si>
  <si>
    <t xml:space="preserve"> 2/2009</t>
  </si>
  <si>
    <t xml:space="preserve"> 3/2009</t>
  </si>
  <si>
    <t xml:space="preserve"> 4/2009</t>
  </si>
  <si>
    <t xml:space="preserve"> 5/2009</t>
  </si>
  <si>
    <t xml:space="preserve"> 6/2009</t>
  </si>
  <si>
    <t xml:space="preserve"> 7/2009</t>
  </si>
  <si>
    <t xml:space="preserve"> 8/2009</t>
  </si>
  <si>
    <t xml:space="preserve"> 9/2009</t>
  </si>
  <si>
    <t xml:space="preserve">10/2009</t>
  </si>
  <si>
    <t xml:space="preserve">11/2009</t>
  </si>
  <si>
    <t xml:space="preserve">12/2009</t>
  </si>
  <si>
    <t xml:space="preserve"> 1/2010</t>
  </si>
  <si>
    <t xml:space="preserve"> 2/2010</t>
  </si>
  <si>
    <t xml:space="preserve"> 3/2010</t>
  </si>
  <si>
    <t xml:space="preserve"> 4/2010</t>
  </si>
  <si>
    <t xml:space="preserve"> 5/2010</t>
  </si>
  <si>
    <t xml:space="preserve"> 6/2010</t>
  </si>
  <si>
    <t xml:space="preserve"> 7/2010</t>
  </si>
  <si>
    <t xml:space="preserve"> 8/2010</t>
  </si>
  <si>
    <t xml:space="preserve"> 9/2010</t>
  </si>
  <si>
    <t xml:space="preserve">10/2010</t>
  </si>
  <si>
    <t xml:space="preserve">11/2010</t>
  </si>
  <si>
    <t xml:space="preserve">12/2010</t>
  </si>
  <si>
    <t xml:space="preserve"> 1/2011</t>
  </si>
  <si>
    <t xml:space="preserve"> 2/2011</t>
  </si>
  <si>
    <t xml:space="preserve"> 3/2011</t>
  </si>
  <si>
    <t xml:space="preserve"> 4/2011</t>
  </si>
  <si>
    <t xml:space="preserve"> 5/2011</t>
  </si>
  <si>
    <t xml:space="preserve"> 6/2011</t>
  </si>
  <si>
    <t xml:space="preserve"> 7/2011</t>
  </si>
  <si>
    <t xml:space="preserve"> 8/2011</t>
  </si>
  <si>
    <t xml:space="preserve"> 9/2011</t>
  </si>
  <si>
    <t xml:space="preserve">10/2011</t>
  </si>
  <si>
    <t xml:space="preserve">11/2011</t>
  </si>
  <si>
    <t xml:space="preserve">12/2011</t>
  </si>
  <si>
    <t xml:space="preserve"> 1/2012</t>
  </si>
  <si>
    <t xml:space="preserve"> 2/2012</t>
  </si>
  <si>
    <t xml:space="preserve"> 3/2012</t>
  </si>
  <si>
    <t xml:space="preserve"> 4/2012</t>
  </si>
  <si>
    <t xml:space="preserve"> 5/2012</t>
  </si>
  <si>
    <t xml:space="preserve"> 6/2012</t>
  </si>
  <si>
    <t xml:space="preserve"> 7/2012</t>
  </si>
  <si>
    <t xml:space="preserve"> 8/2012</t>
  </si>
  <si>
    <t xml:space="preserve"> 9/2012</t>
  </si>
  <si>
    <t xml:space="preserve">10/2012</t>
  </si>
  <si>
    <t xml:space="preserve">11/2012</t>
  </si>
  <si>
    <t xml:space="preserve">12/2012</t>
  </si>
  <si>
    <t xml:space="preserve"> 1/2013</t>
  </si>
  <si>
    <t xml:space="preserve"> 2/2013</t>
  </si>
  <si>
    <t xml:space="preserve"> 3/2013</t>
  </si>
  <si>
    <t xml:space="preserve"> 4/2013</t>
  </si>
  <si>
    <t xml:space="preserve"> 5/2013</t>
  </si>
  <si>
    <t xml:space="preserve"> 6/2013</t>
  </si>
  <si>
    <t xml:space="preserve"> 7/2013</t>
  </si>
  <si>
    <t xml:space="preserve"> 8/2013</t>
  </si>
  <si>
    <t xml:space="preserve"> 9/2013</t>
  </si>
  <si>
    <t xml:space="preserve">10/2013</t>
  </si>
  <si>
    <t xml:space="preserve">11/2013</t>
  </si>
  <si>
    <t xml:space="preserve">12/2013</t>
  </si>
  <si>
    <t xml:space="preserve"> 1/2014</t>
  </si>
  <si>
    <t xml:space="preserve"> 2/2014</t>
  </si>
  <si>
    <t xml:space="preserve"> 3/2014</t>
  </si>
  <si>
    <t xml:space="preserve"> 4/2014</t>
  </si>
  <si>
    <t xml:space="preserve"> 5/2014</t>
  </si>
  <si>
    <t xml:space="preserve"> 6/2014</t>
  </si>
  <si>
    <t xml:space="preserve"> 7/2014</t>
  </si>
  <si>
    <t xml:space="preserve"> 8/2014</t>
  </si>
  <si>
    <t xml:space="preserve"> 9/2014</t>
  </si>
  <si>
    <t xml:space="preserve">10/2014</t>
  </si>
  <si>
    <t xml:space="preserve">11/2014</t>
  </si>
  <si>
    <t xml:space="preserve">12/2014</t>
  </si>
  <si>
    <t xml:space="preserve"> 1/2015</t>
  </si>
  <si>
    <t xml:space="preserve"> 2/2015</t>
  </si>
  <si>
    <t xml:space="preserve"> 3/2015</t>
  </si>
  <si>
    <t xml:space="preserve"> 4/2015</t>
  </si>
  <si>
    <t xml:space="preserve"> 5/2015</t>
  </si>
  <si>
    <t xml:space="preserve"> 6/2015</t>
  </si>
  <si>
    <t xml:space="preserve"> 7/2015</t>
  </si>
  <si>
    <t xml:space="preserve"> 8/2015</t>
  </si>
  <si>
    <t xml:space="preserve"> 9/2015</t>
  </si>
  <si>
    <t xml:space="preserve">10/2015</t>
  </si>
  <si>
    <t xml:space="preserve">11/2015</t>
  </si>
  <si>
    <t xml:space="preserve">12/2015</t>
  </si>
  <si>
    <t xml:space="preserve"> 1/2016</t>
  </si>
  <si>
    <t xml:space="preserve"> 2/2016</t>
  </si>
  <si>
    <t xml:space="preserve"> 3/2016</t>
  </si>
  <si>
    <t xml:space="preserve"> 4/2016</t>
  </si>
  <si>
    <t xml:space="preserve"> 5/2016</t>
  </si>
  <si>
    <t xml:space="preserve"> 6/2016</t>
  </si>
  <si>
    <t xml:space="preserve"> 7/2016</t>
  </si>
  <si>
    <t xml:space="preserve"> 8/2016</t>
  </si>
  <si>
    <t xml:space="preserve"> 9/2016</t>
  </si>
  <si>
    <t xml:space="preserve">10/2016</t>
  </si>
  <si>
    <t xml:space="preserve">11/2016</t>
  </si>
  <si>
    <t xml:space="preserve">12/2016</t>
  </si>
  <si>
    <t xml:space="preserve"> 1/2017</t>
  </si>
  <si>
    <t xml:space="preserve"> 2/2017</t>
  </si>
  <si>
    <t xml:space="preserve"> 3/2017</t>
  </si>
  <si>
    <t xml:space="preserve"> 4/2017</t>
  </si>
  <si>
    <t xml:space="preserve"> 5/2017</t>
  </si>
  <si>
    <t xml:space="preserve"> 6/2017</t>
  </si>
  <si>
    <t xml:space="preserve"> 7/2017</t>
  </si>
  <si>
    <t xml:space="preserve"> 8/2017</t>
  </si>
  <si>
    <t xml:space="preserve"> 9/2017</t>
  </si>
  <si>
    <t xml:space="preserve">10/2017</t>
  </si>
  <si>
    <t xml:space="preserve">11/2017</t>
  </si>
  <si>
    <t xml:space="preserve">12/2017</t>
  </si>
  <si>
    <t xml:space="preserve"> 1/2018</t>
  </si>
  <si>
    <t xml:space="preserve"> 2/2018</t>
  </si>
  <si>
    <t xml:space="preserve"> 3/2018</t>
  </si>
  <si>
    <t xml:space="preserve"> 4/2018</t>
  </si>
  <si>
    <t xml:space="preserve"> 5/2018</t>
  </si>
  <si>
    <t xml:space="preserve"> 6/2018</t>
  </si>
  <si>
    <t xml:space="preserve"> 7/2018</t>
  </si>
  <si>
    <t xml:space="preserve"> 8/2018</t>
  </si>
  <si>
    <t xml:space="preserve"> 9/2018</t>
  </si>
  <si>
    <t xml:space="preserve">10/2018</t>
  </si>
  <si>
    <t xml:space="preserve">11/2018</t>
  </si>
  <si>
    <t xml:space="preserve">12/2018</t>
  </si>
  <si>
    <t xml:space="preserve"> 1/2019</t>
  </si>
  <si>
    <t xml:space="preserve"> 2/2019</t>
  </si>
  <si>
    <t xml:space="preserve"> 3/2019</t>
  </si>
  <si>
    <t xml:space="preserve"> 4/2019</t>
  </si>
  <si>
    <t xml:space="preserve"> 5/2019</t>
  </si>
  <si>
    <t xml:space="preserve"> 6/2019</t>
  </si>
  <si>
    <t xml:space="preserve"> 7/2019</t>
  </si>
  <si>
    <t xml:space="preserve"> 8/2019</t>
  </si>
  <si>
    <t xml:space="preserve"> 9/2019</t>
  </si>
  <si>
    <t xml:space="preserve">10/2019</t>
  </si>
  <si>
    <t xml:space="preserve">11/2019</t>
  </si>
  <si>
    <t xml:space="preserve">12/2019</t>
  </si>
  <si>
    <t xml:space="preserve"> 1/2020</t>
  </si>
  <si>
    <t xml:space="preserve"> 2/2020</t>
  </si>
  <si>
    <t xml:space="preserve"> 3/2020</t>
  </si>
  <si>
    <t xml:space="preserve"> 4/2020</t>
  </si>
  <si>
    <t xml:space="preserve"> 5/2020</t>
  </si>
  <si>
    <t xml:space="preserve"> 6/2020</t>
  </si>
  <si>
    <t xml:space="preserve"> 7/2020</t>
  </si>
  <si>
    <t xml:space="preserve"> 8/2020</t>
  </si>
  <si>
    <t xml:space="preserve"> 9/2020</t>
  </si>
  <si>
    <t xml:space="preserve">10/2020</t>
  </si>
  <si>
    <t xml:space="preserve">11/2020</t>
  </si>
  <si>
    <t xml:space="preserve">12/2020</t>
  </si>
  <si>
    <t xml:space="preserve"> 1/2021</t>
  </si>
  <si>
    <t xml:space="preserve"> 2/2021</t>
  </si>
  <si>
    <t xml:space="preserve"> 3/2021</t>
  </si>
  <si>
    <t xml:space="preserve"> 4/2021</t>
  </si>
  <si>
    <t xml:space="preserve"> 5/2021</t>
  </si>
  <si>
    <t xml:space="preserve"> 6/2021</t>
  </si>
  <si>
    <t xml:space="preserve"> 7/2021</t>
  </si>
  <si>
    <t xml:space="preserve"> 8/2021</t>
  </si>
  <si>
    <t xml:space="preserve"> 9/2021</t>
  </si>
  <si>
    <t xml:space="preserve">10/2021</t>
  </si>
  <si>
    <t xml:space="preserve">11/2021</t>
  </si>
  <si>
    <t xml:space="preserve">12/2021</t>
  </si>
  <si>
    <t xml:space="preserve"> 1/2022</t>
  </si>
  <si>
    <t xml:space="preserve"> 2/2022</t>
  </si>
  <si>
    <t xml:space="preserve"> 3/2022</t>
  </si>
  <si>
    <t xml:space="preserve">4/2022</t>
  </si>
  <si>
    <t xml:space="preserve">5/2022</t>
  </si>
  <si>
    <t xml:space="preserve">6/2022</t>
  </si>
  <si>
    <t xml:space="preserve">7/2022</t>
  </si>
  <si>
    <t xml:space="preserve">8/2022</t>
  </si>
  <si>
    <t xml:space="preserve">PROM 2020</t>
  </si>
  <si>
    <t xml:space="preserve">Sigma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</si>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</sst>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Sheet1!$AR$53:$AR$250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Sheet1!$AS$53:$AS$250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Sheet1!$AT$53:$AT$250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Sheet1!$AU$53:$AU$250</c:f>
              <c:numCache>
                <c:formatCode>General</c:formatCode>
                <c:ptCount val="19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690033"/>
        <c:axId val="40100757"/>
      </c:lineChart>
      <c:catAx>
        <c:axId val="936900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ES" sz="1000" spc="-1" strike="noStrike">
                <a:latin typeface="Arial"/>
              </a:defRPr>
            </a:pPr>
          </a:p>
        </c:txPr>
        <c:crossAx val="40100757"/>
        <c:crosses val="autoZero"/>
        <c:auto val="1"/>
        <c:lblAlgn val="ctr"/>
        <c:lblOffset val="100"/>
        <c:noMultiLvlLbl val="0"/>
      </c:catAx>
      <c:valAx>
        <c:axId val="401007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ES" sz="1000" spc="-1" strike="noStrike">
                <a:latin typeface="Arial"/>
              </a:defRPr>
            </a:pPr>
          </a:p>
        </c:txPr>
        <c:crossAx val="9369003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Sheet1!$AW$53:$AW$250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Sheet1!$AX$53:$AX$250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Sheet1!$AY$53:$AY$250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Sheet1!$AZ$53:$AZ$250</c:f>
              <c:numCache>
                <c:formatCode>General</c:formatCode>
                <c:ptCount val="19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29105"/>
        <c:axId val="63424886"/>
      </c:lineChart>
      <c:catAx>
        <c:axId val="39291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ES" sz="1000" spc="-1" strike="noStrike">
                <a:latin typeface="Arial"/>
              </a:defRPr>
            </a:pPr>
          </a:p>
        </c:txPr>
        <c:crossAx val="63424886"/>
        <c:crosses val="autoZero"/>
        <c:auto val="1"/>
        <c:lblAlgn val="ctr"/>
        <c:lblOffset val="100"/>
        <c:noMultiLvlLbl val="0"/>
      </c:catAx>
      <c:valAx>
        <c:axId val="634248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ES" sz="1000" spc="-1" strike="noStrike">
                <a:latin typeface="Arial"/>
              </a:defRPr>
            </a:pPr>
          </a:p>
        </c:txPr>
        <c:crossAx val="39291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91044776119403"/>
          <c:y val="0.0481485599911042"/>
          <c:w val="0.900559701492537"/>
          <c:h val="0.914711442232848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Sheet1!$BB$53:$BB$250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Sheet1!$BC$53:$BC$250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Sheet1!$BD$53:$BD$250</c:f>
              <c:numCache>
                <c:formatCode>General</c:formatCode>
                <c:ptCount val="198"/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es-ES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Sheet1!$B$53:$B$250</c:f>
              <c:strCache>
                <c:ptCount val="198"/>
                <c:pt idx="0">
                  <c:v> 3/2006</c:v>
                </c:pt>
                <c:pt idx="1">
                  <c:v> 4/2006</c:v>
                </c:pt>
                <c:pt idx="2">
                  <c:v> 5/2006</c:v>
                </c:pt>
                <c:pt idx="3">
                  <c:v> 6/2006</c:v>
                </c:pt>
                <c:pt idx="4">
                  <c:v> 7/2006</c:v>
                </c:pt>
                <c:pt idx="5">
                  <c:v> 8/2006</c:v>
                </c:pt>
                <c:pt idx="6">
                  <c:v> 9/2006</c:v>
                </c:pt>
                <c:pt idx="7">
                  <c:v>10/2006</c:v>
                </c:pt>
                <c:pt idx="8">
                  <c:v>11/2006</c:v>
                </c:pt>
                <c:pt idx="9">
                  <c:v>12/2006</c:v>
                </c:pt>
                <c:pt idx="10">
                  <c:v> 1/2007</c:v>
                </c:pt>
                <c:pt idx="11">
                  <c:v> 2/2007</c:v>
                </c:pt>
                <c:pt idx="12">
                  <c:v> 3/2007</c:v>
                </c:pt>
                <c:pt idx="13">
                  <c:v> 4/2007</c:v>
                </c:pt>
                <c:pt idx="14">
                  <c:v> 5/2007</c:v>
                </c:pt>
                <c:pt idx="15">
                  <c:v> 6/2007</c:v>
                </c:pt>
                <c:pt idx="16">
                  <c:v> 7/2007</c:v>
                </c:pt>
                <c:pt idx="17">
                  <c:v> 8/2007</c:v>
                </c:pt>
                <c:pt idx="18">
                  <c:v> 9/2007</c:v>
                </c:pt>
                <c:pt idx="19">
                  <c:v>10/2007</c:v>
                </c:pt>
                <c:pt idx="20">
                  <c:v>11/2007</c:v>
                </c:pt>
                <c:pt idx="21">
                  <c:v>12/2007</c:v>
                </c:pt>
                <c:pt idx="22">
                  <c:v> 1/2008</c:v>
                </c:pt>
                <c:pt idx="23">
                  <c:v> 2/2008</c:v>
                </c:pt>
                <c:pt idx="24">
                  <c:v> 3/2008</c:v>
                </c:pt>
                <c:pt idx="25">
                  <c:v> 4/2008</c:v>
                </c:pt>
                <c:pt idx="26">
                  <c:v> 5/2008</c:v>
                </c:pt>
                <c:pt idx="27">
                  <c:v> 6/2008</c:v>
                </c:pt>
                <c:pt idx="28">
                  <c:v> 7/2008</c:v>
                </c:pt>
                <c:pt idx="29">
                  <c:v> 8/2008</c:v>
                </c:pt>
                <c:pt idx="30">
                  <c:v> 9/2008</c:v>
                </c:pt>
                <c:pt idx="31">
                  <c:v>10/2008</c:v>
                </c:pt>
                <c:pt idx="32">
                  <c:v>11/2008</c:v>
                </c:pt>
                <c:pt idx="33">
                  <c:v>12/2008</c:v>
                </c:pt>
                <c:pt idx="34">
                  <c:v> 1/2009</c:v>
                </c:pt>
                <c:pt idx="35">
                  <c:v> 2/2009</c:v>
                </c:pt>
                <c:pt idx="36">
                  <c:v> 3/2009</c:v>
                </c:pt>
                <c:pt idx="37">
                  <c:v> 4/2009</c:v>
                </c:pt>
                <c:pt idx="38">
                  <c:v> 5/2009</c:v>
                </c:pt>
                <c:pt idx="39">
                  <c:v> 6/2009</c:v>
                </c:pt>
                <c:pt idx="40">
                  <c:v> 7/2009</c:v>
                </c:pt>
                <c:pt idx="41">
                  <c:v> 8/2009</c:v>
                </c:pt>
                <c:pt idx="42">
                  <c:v> 9/2009</c:v>
                </c:pt>
                <c:pt idx="43">
                  <c:v>10/2009</c:v>
                </c:pt>
                <c:pt idx="44">
                  <c:v>11/2009</c:v>
                </c:pt>
                <c:pt idx="45">
                  <c:v>12/2009</c:v>
                </c:pt>
                <c:pt idx="46">
                  <c:v> 1/2010</c:v>
                </c:pt>
                <c:pt idx="47">
                  <c:v> 2/2010</c:v>
                </c:pt>
                <c:pt idx="48">
                  <c:v> 3/2010</c:v>
                </c:pt>
                <c:pt idx="49">
                  <c:v> 4/2010</c:v>
                </c:pt>
                <c:pt idx="50">
                  <c:v> 5/2010</c:v>
                </c:pt>
                <c:pt idx="51">
                  <c:v> 6/2010</c:v>
                </c:pt>
                <c:pt idx="52">
                  <c:v> 7/2010</c:v>
                </c:pt>
                <c:pt idx="53">
                  <c:v> 8/2010</c:v>
                </c:pt>
                <c:pt idx="54">
                  <c:v> 9/2010</c:v>
                </c:pt>
                <c:pt idx="55">
                  <c:v>10/2010</c:v>
                </c:pt>
                <c:pt idx="56">
                  <c:v>11/2010</c:v>
                </c:pt>
                <c:pt idx="57">
                  <c:v>12/2010</c:v>
                </c:pt>
                <c:pt idx="58">
                  <c:v> 1/2011</c:v>
                </c:pt>
                <c:pt idx="59">
                  <c:v> 2/2011</c:v>
                </c:pt>
                <c:pt idx="60">
                  <c:v> 3/2011</c:v>
                </c:pt>
                <c:pt idx="61">
                  <c:v> 4/2011</c:v>
                </c:pt>
                <c:pt idx="62">
                  <c:v> 5/2011</c:v>
                </c:pt>
                <c:pt idx="63">
                  <c:v> 6/2011</c:v>
                </c:pt>
                <c:pt idx="64">
                  <c:v> 7/2011</c:v>
                </c:pt>
                <c:pt idx="65">
                  <c:v> 8/2011</c:v>
                </c:pt>
                <c:pt idx="66">
                  <c:v> 9/2011</c:v>
                </c:pt>
                <c:pt idx="67">
                  <c:v>10/2011</c:v>
                </c:pt>
                <c:pt idx="68">
                  <c:v>11/2011</c:v>
                </c:pt>
                <c:pt idx="69">
                  <c:v>12/2011</c:v>
                </c:pt>
                <c:pt idx="70">
                  <c:v> 1/2012</c:v>
                </c:pt>
                <c:pt idx="71">
                  <c:v> 2/2012</c:v>
                </c:pt>
                <c:pt idx="72">
                  <c:v> 3/2012</c:v>
                </c:pt>
                <c:pt idx="73">
                  <c:v> 4/2012</c:v>
                </c:pt>
                <c:pt idx="74">
                  <c:v> 5/2012</c:v>
                </c:pt>
                <c:pt idx="75">
                  <c:v> 6/2012</c:v>
                </c:pt>
                <c:pt idx="76">
                  <c:v> 7/2012</c:v>
                </c:pt>
                <c:pt idx="77">
                  <c:v> 8/2012</c:v>
                </c:pt>
                <c:pt idx="78">
                  <c:v> 9/2012</c:v>
                </c:pt>
                <c:pt idx="79">
                  <c:v>10/2012</c:v>
                </c:pt>
                <c:pt idx="80">
                  <c:v>11/2012</c:v>
                </c:pt>
                <c:pt idx="81">
                  <c:v>12/2012</c:v>
                </c:pt>
                <c:pt idx="82">
                  <c:v> 1/2013</c:v>
                </c:pt>
                <c:pt idx="83">
                  <c:v> 2/2013</c:v>
                </c:pt>
                <c:pt idx="84">
                  <c:v> 3/2013</c:v>
                </c:pt>
                <c:pt idx="85">
                  <c:v> 4/2013</c:v>
                </c:pt>
                <c:pt idx="86">
                  <c:v> 5/2013</c:v>
                </c:pt>
                <c:pt idx="87">
                  <c:v> 6/2013</c:v>
                </c:pt>
                <c:pt idx="88">
                  <c:v> 7/2013</c:v>
                </c:pt>
                <c:pt idx="89">
                  <c:v> 8/2013</c:v>
                </c:pt>
                <c:pt idx="90">
                  <c:v> 9/2013</c:v>
                </c:pt>
                <c:pt idx="91">
                  <c:v>10/2013</c:v>
                </c:pt>
                <c:pt idx="92">
                  <c:v>11/2013</c:v>
                </c:pt>
                <c:pt idx="93">
                  <c:v>12/2013</c:v>
                </c:pt>
                <c:pt idx="94">
                  <c:v> 1/2014</c:v>
                </c:pt>
                <c:pt idx="95">
                  <c:v> 2/2014</c:v>
                </c:pt>
                <c:pt idx="96">
                  <c:v> 3/2014</c:v>
                </c:pt>
                <c:pt idx="97">
                  <c:v> 4/2014</c:v>
                </c:pt>
                <c:pt idx="98">
                  <c:v> 5/2014</c:v>
                </c:pt>
                <c:pt idx="99">
                  <c:v> 6/2014</c:v>
                </c:pt>
                <c:pt idx="100">
                  <c:v> 7/2014</c:v>
                </c:pt>
                <c:pt idx="101">
                  <c:v> 8/2014</c:v>
                </c:pt>
                <c:pt idx="102">
                  <c:v> 9/2014</c:v>
                </c:pt>
                <c:pt idx="103">
                  <c:v>10/2014</c:v>
                </c:pt>
                <c:pt idx="104">
                  <c:v>11/2014</c:v>
                </c:pt>
                <c:pt idx="105">
                  <c:v>12/2014</c:v>
                </c:pt>
                <c:pt idx="106">
                  <c:v> 1/2015</c:v>
                </c:pt>
                <c:pt idx="107">
                  <c:v> 2/2015</c:v>
                </c:pt>
                <c:pt idx="108">
                  <c:v> 3/2015</c:v>
                </c:pt>
                <c:pt idx="109">
                  <c:v> 4/2015</c:v>
                </c:pt>
                <c:pt idx="110">
                  <c:v> 5/2015</c:v>
                </c:pt>
                <c:pt idx="111">
                  <c:v> 6/2015</c:v>
                </c:pt>
                <c:pt idx="112">
                  <c:v> 7/2015</c:v>
                </c:pt>
                <c:pt idx="113">
                  <c:v> 8/2015</c:v>
                </c:pt>
                <c:pt idx="114">
                  <c:v> 9/2015</c:v>
                </c:pt>
                <c:pt idx="115">
                  <c:v>10/2015</c:v>
                </c:pt>
                <c:pt idx="116">
                  <c:v>11/2015</c:v>
                </c:pt>
                <c:pt idx="117">
                  <c:v>12/2015</c:v>
                </c:pt>
                <c:pt idx="118">
                  <c:v> 1/2016</c:v>
                </c:pt>
                <c:pt idx="119">
                  <c:v> 2/2016</c:v>
                </c:pt>
                <c:pt idx="120">
                  <c:v> 3/2016</c:v>
                </c:pt>
                <c:pt idx="121">
                  <c:v> 4/2016</c:v>
                </c:pt>
                <c:pt idx="122">
                  <c:v> 5/2016</c:v>
                </c:pt>
                <c:pt idx="123">
                  <c:v> 6/2016</c:v>
                </c:pt>
                <c:pt idx="124">
                  <c:v> 7/2016</c:v>
                </c:pt>
                <c:pt idx="125">
                  <c:v> 8/2016</c:v>
                </c:pt>
                <c:pt idx="126">
                  <c:v> 9/2016</c:v>
                </c:pt>
                <c:pt idx="127">
                  <c:v>10/2016</c:v>
                </c:pt>
                <c:pt idx="128">
                  <c:v>11/2016</c:v>
                </c:pt>
                <c:pt idx="129">
                  <c:v>12/2016</c:v>
                </c:pt>
                <c:pt idx="130">
                  <c:v> 1/2017</c:v>
                </c:pt>
                <c:pt idx="131">
                  <c:v> 2/2017</c:v>
                </c:pt>
                <c:pt idx="132">
                  <c:v> 3/2017</c:v>
                </c:pt>
                <c:pt idx="133">
                  <c:v> 4/2017</c:v>
                </c:pt>
                <c:pt idx="134">
                  <c:v> 5/2017</c:v>
                </c:pt>
                <c:pt idx="135">
                  <c:v> 6/2017</c:v>
                </c:pt>
                <c:pt idx="136">
                  <c:v> 7/2017</c:v>
                </c:pt>
                <c:pt idx="137">
                  <c:v> 8/2017</c:v>
                </c:pt>
                <c:pt idx="138">
                  <c:v> 9/2017</c:v>
                </c:pt>
                <c:pt idx="139">
                  <c:v>10/2017</c:v>
                </c:pt>
                <c:pt idx="140">
                  <c:v>11/2017</c:v>
                </c:pt>
                <c:pt idx="141">
                  <c:v>12/2017</c:v>
                </c:pt>
                <c:pt idx="142">
                  <c:v> 1/2018</c:v>
                </c:pt>
                <c:pt idx="143">
                  <c:v> 2/2018</c:v>
                </c:pt>
                <c:pt idx="144">
                  <c:v> 3/2018</c:v>
                </c:pt>
                <c:pt idx="145">
                  <c:v> 4/2018</c:v>
                </c:pt>
                <c:pt idx="146">
                  <c:v> 5/2018</c:v>
                </c:pt>
                <c:pt idx="147">
                  <c:v> 6/2018</c:v>
                </c:pt>
                <c:pt idx="148">
                  <c:v> 7/2018</c:v>
                </c:pt>
                <c:pt idx="149">
                  <c:v> 8/2018</c:v>
                </c:pt>
                <c:pt idx="150">
                  <c:v> 9/2018</c:v>
                </c:pt>
                <c:pt idx="151">
                  <c:v>10/2018</c:v>
                </c:pt>
                <c:pt idx="152">
                  <c:v>11/2018</c:v>
                </c:pt>
                <c:pt idx="153">
                  <c:v>12/2018</c:v>
                </c:pt>
                <c:pt idx="154">
                  <c:v> 1/2019</c:v>
                </c:pt>
                <c:pt idx="155">
                  <c:v> 2/2019</c:v>
                </c:pt>
                <c:pt idx="156">
                  <c:v> 3/2019</c:v>
                </c:pt>
                <c:pt idx="157">
                  <c:v> 4/2019</c:v>
                </c:pt>
                <c:pt idx="158">
                  <c:v> 5/2019</c:v>
                </c:pt>
                <c:pt idx="159">
                  <c:v> 6/2019</c:v>
                </c:pt>
                <c:pt idx="160">
                  <c:v> 7/2019</c:v>
                </c:pt>
                <c:pt idx="161">
                  <c:v> 8/2019</c:v>
                </c:pt>
                <c:pt idx="162">
                  <c:v> 9/2019</c:v>
                </c:pt>
                <c:pt idx="163">
                  <c:v>10/2019</c:v>
                </c:pt>
                <c:pt idx="164">
                  <c:v>11/2019</c:v>
                </c:pt>
                <c:pt idx="165">
                  <c:v>12/2019</c:v>
                </c:pt>
                <c:pt idx="166">
                  <c:v> 1/2020</c:v>
                </c:pt>
                <c:pt idx="167">
                  <c:v> 2/2020</c:v>
                </c:pt>
                <c:pt idx="168">
                  <c:v> 3/2020</c:v>
                </c:pt>
                <c:pt idx="169">
                  <c:v> 4/2020</c:v>
                </c:pt>
                <c:pt idx="170">
                  <c:v> 5/2020</c:v>
                </c:pt>
                <c:pt idx="171">
                  <c:v> 6/2020</c:v>
                </c:pt>
                <c:pt idx="172">
                  <c:v> 7/2020</c:v>
                </c:pt>
                <c:pt idx="173">
                  <c:v> 8/2020</c:v>
                </c:pt>
                <c:pt idx="174">
                  <c:v> 9/2020</c:v>
                </c:pt>
                <c:pt idx="175">
                  <c:v>10/2020</c:v>
                </c:pt>
                <c:pt idx="176">
                  <c:v>11/2020</c:v>
                </c:pt>
                <c:pt idx="177">
                  <c:v>12/2020</c:v>
                </c:pt>
                <c:pt idx="178">
                  <c:v> 1/2021</c:v>
                </c:pt>
                <c:pt idx="179">
                  <c:v> 2/2021</c:v>
                </c:pt>
                <c:pt idx="180">
                  <c:v> 3/2021</c:v>
                </c:pt>
                <c:pt idx="181">
                  <c:v> 4/2021</c:v>
                </c:pt>
                <c:pt idx="182">
                  <c:v> 5/2021</c:v>
                </c:pt>
                <c:pt idx="183">
                  <c:v> 6/2021</c:v>
                </c:pt>
                <c:pt idx="184">
                  <c:v> 7/2021</c:v>
                </c:pt>
                <c:pt idx="185">
                  <c:v> 8/2021</c:v>
                </c:pt>
                <c:pt idx="186">
                  <c:v> 9/2021</c:v>
                </c:pt>
                <c:pt idx="187">
                  <c:v>10/2021</c:v>
                </c:pt>
                <c:pt idx="188">
                  <c:v>11/2021</c:v>
                </c:pt>
                <c:pt idx="189">
                  <c:v>12/2021</c:v>
                </c:pt>
                <c:pt idx="190">
                  <c:v> 1/2022</c:v>
                </c:pt>
                <c:pt idx="191">
                  <c:v> 2/2022</c:v>
                </c:pt>
                <c:pt idx="192">
                  <c:v> 3/2022</c:v>
                </c:pt>
                <c:pt idx="193">
                  <c:v>4/2022</c:v>
                </c:pt>
                <c:pt idx="194">
                  <c:v>5/2022</c:v>
                </c:pt>
                <c:pt idx="195">
                  <c:v>6/2022</c:v>
                </c:pt>
                <c:pt idx="196">
                  <c:v>7/2022</c:v>
                </c:pt>
                <c:pt idx="197">
                  <c:v>8/2022</c:v>
                </c:pt>
              </c:strCache>
            </c:strRef>
          </c:cat>
          <c:val>
            <c:numRef>
              <c:f>Sheet1!$BE$53:$BE$250</c:f>
              <c:numCache>
                <c:formatCode>General</c:formatCode>
                <c:ptCount val="19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493711"/>
        <c:axId val="49676910"/>
      </c:lineChart>
      <c:catAx>
        <c:axId val="774937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ES" sz="1000" spc="-1" strike="noStrike">
                <a:latin typeface="Arial"/>
              </a:defRPr>
            </a:pPr>
          </a:p>
        </c:txPr>
        <c:crossAx val="49676910"/>
        <c:crosses val="autoZero"/>
        <c:auto val="1"/>
        <c:lblAlgn val="ctr"/>
        <c:lblOffset val="100"/>
        <c:noMultiLvlLbl val="0"/>
      </c:catAx>
      <c:valAx>
        <c:axId val="496769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ES" sz="1000" spc="-1" strike="noStrike">
                <a:latin typeface="Arial"/>
              </a:defRPr>
            </a:pPr>
          </a:p>
        </c:txPr>
        <c:crossAx val="774937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767520</xdr:colOff>
      <xdr:row>252</xdr:row>
      <xdr:rowOff>131400</xdr:rowOff>
    </xdr:from>
    <xdr:to>
      <xdr:col>49</xdr:col>
      <xdr:colOff>750600</xdr:colOff>
      <xdr:row>272</xdr:row>
      <xdr:rowOff>117360</xdr:rowOff>
    </xdr:to>
    <xdr:graphicFrame>
      <xdr:nvGraphicFramePr>
        <xdr:cNvPr id="0" name=""/>
        <xdr:cNvGraphicFramePr/>
      </xdr:nvGraphicFramePr>
      <xdr:xfrm>
        <a:off x="35598600" y="41096520"/>
        <a:ext cx="578808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50</xdr:col>
      <xdr:colOff>793080</xdr:colOff>
      <xdr:row>252</xdr:row>
      <xdr:rowOff>160560</xdr:rowOff>
    </xdr:from>
    <xdr:to>
      <xdr:col>57</xdr:col>
      <xdr:colOff>776520</xdr:colOff>
      <xdr:row>272</xdr:row>
      <xdr:rowOff>146520</xdr:rowOff>
    </xdr:to>
    <xdr:graphicFrame>
      <xdr:nvGraphicFramePr>
        <xdr:cNvPr id="1" name=""/>
        <xdr:cNvGraphicFramePr/>
      </xdr:nvGraphicFramePr>
      <xdr:xfrm>
        <a:off x="42258600" y="41125680"/>
        <a:ext cx="57884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58</xdr:col>
      <xdr:colOff>492480</xdr:colOff>
      <xdr:row>252</xdr:row>
      <xdr:rowOff>121680</xdr:rowOff>
    </xdr:from>
    <xdr:to>
      <xdr:col>65</xdr:col>
      <xdr:colOff>475560</xdr:colOff>
      <xdr:row>272</xdr:row>
      <xdr:rowOff>107640</xdr:rowOff>
    </xdr:to>
    <xdr:graphicFrame>
      <xdr:nvGraphicFramePr>
        <xdr:cNvPr id="2" name=""/>
        <xdr:cNvGraphicFramePr/>
      </xdr:nvGraphicFramePr>
      <xdr:xfrm>
        <a:off x="48592440" y="41086800"/>
        <a:ext cx="57884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5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2" activeCellId="0" sqref="D2"/>
    </sheetView>
  </sheetViews>
  <sheetFormatPr defaultColWidth="11.55078125" defaultRowHeight="12.8" zeroHeight="false" outlineLevelRow="0" outlineLevelCol="0"/>
  <cols>
    <col collapsed="false" customWidth="true" hidden="false" outlineLevel="0" max="65" min="1" style="1" width="11.77"/>
  </cols>
  <sheetData>
    <row r="1" customFormat="false" ht="12.8" hidden="false" customHeight="false" outlineLevel="0" collapsed="false">
      <c r="C1" s="2" t="s">
        <v>0</v>
      </c>
      <c r="D1" s="2" t="s">
        <v>1</v>
      </c>
      <c r="E1" s="2" t="n">
        <v>1</v>
      </c>
      <c r="F1" s="2" t="n">
        <v>1</v>
      </c>
      <c r="G1" s="2" t="n">
        <v>2</v>
      </c>
      <c r="H1" s="2" t="n">
        <v>2</v>
      </c>
      <c r="I1" s="2" t="n">
        <v>3</v>
      </c>
      <c r="J1" s="2" t="n">
        <v>3</v>
      </c>
      <c r="K1" s="2" t="n">
        <v>4</v>
      </c>
      <c r="L1" s="2" t="n">
        <v>4</v>
      </c>
      <c r="M1" s="2" t="n">
        <v>5</v>
      </c>
      <c r="N1" s="2" t="n">
        <v>5</v>
      </c>
      <c r="O1" s="2" t="s">
        <v>2</v>
      </c>
      <c r="P1" s="2" t="s">
        <v>3</v>
      </c>
      <c r="Q1" s="2" t="s">
        <v>4</v>
      </c>
      <c r="R1" s="2" t="s">
        <v>5</v>
      </c>
      <c r="S1" s="2"/>
      <c r="T1" s="2"/>
      <c r="U1" s="2"/>
      <c r="V1" s="2"/>
      <c r="W1" s="2"/>
      <c r="X1" s="2"/>
      <c r="AB1" s="2"/>
      <c r="AC1" s="2"/>
      <c r="AD1" s="2"/>
      <c r="AE1" s="3"/>
      <c r="AF1" s="2"/>
      <c r="AG1" s="2"/>
      <c r="AJ1" s="3"/>
      <c r="AL1" s="2"/>
      <c r="AR1" s="2"/>
      <c r="AS1" s="2"/>
      <c r="AT1" s="2"/>
      <c r="AU1" s="2"/>
      <c r="AW1" s="2"/>
      <c r="AX1" s="2"/>
      <c r="AY1" s="2"/>
      <c r="AZ1" s="2"/>
      <c r="BB1" s="2"/>
      <c r="BC1" s="2"/>
      <c r="BD1" s="2"/>
      <c r="BE1" s="2"/>
    </row>
    <row r="2" customFormat="false" ht="12.8" hidden="false" customHeight="false" outlineLevel="0" collapsed="false">
      <c r="A2" s="1" t="s">
        <v>6</v>
      </c>
      <c r="E2" s="2" t="n">
        <v>-0.16099</v>
      </c>
      <c r="F2" s="2" t="n">
        <v>-0.166276</v>
      </c>
      <c r="G2" s="2" t="n">
        <v>0.289269</v>
      </c>
      <c r="H2" s="2" t="n">
        <v>-0.577331</v>
      </c>
      <c r="I2" s="2" t="n">
        <v>0.086102</v>
      </c>
      <c r="J2" s="2" t="n">
        <v>-0.033221</v>
      </c>
      <c r="K2" s="2" t="n">
        <v>0.058566</v>
      </c>
      <c r="L2" s="2" t="n">
        <v>-0.017306</v>
      </c>
      <c r="M2" s="2" t="n">
        <v>-0.00265</v>
      </c>
      <c r="N2" s="2" t="n">
        <v>0.011584</v>
      </c>
      <c r="O2" s="2" t="n">
        <v>0.114941</v>
      </c>
      <c r="Q2" s="2" t="n">
        <f aca="false">SUM(E2:O2)</f>
        <v>-0.397312</v>
      </c>
    </row>
    <row r="3" customFormat="false" ht="12.8" hidden="false" customHeight="false" outlineLevel="0" collapsed="false">
      <c r="A3" s="2" t="n">
        <v>1</v>
      </c>
      <c r="B3" s="2" t="s">
        <v>7</v>
      </c>
      <c r="C3" s="2" t="n">
        <v>69.53</v>
      </c>
      <c r="D3" s="2" t="n">
        <f aca="false">100*LN(C3)</f>
        <v>424.175831411093</v>
      </c>
      <c r="E3" s="2" t="n">
        <f aca="false">E$2*COS((PI()*E$1*$A3)/6)</f>
        <v>-0.139421429755257</v>
      </c>
      <c r="F3" s="2" t="n">
        <f aca="false">F$2*SIN((PI()*F$1*$A3)/6)</f>
        <v>-0.083138</v>
      </c>
      <c r="G3" s="1" t="n">
        <f aca="false">G$2*COS((PI()*G$1*$A3)/6)</f>
        <v>0.1446345</v>
      </c>
      <c r="H3" s="1" t="n">
        <f aca="false">H$2*SIN((PI()*H$1*$A3)/6)</f>
        <v>-0.499983312392274</v>
      </c>
      <c r="I3" s="1" t="n">
        <f aca="false">I$2*COS((PI()*I$1*$A3)/6)</f>
        <v>5.27222693500927E-018</v>
      </c>
      <c r="J3" s="1" t="n">
        <f aca="false">J$2*SIN((PI()*J$1*$A3)/6)</f>
        <v>-0.033221</v>
      </c>
      <c r="K3" s="1" t="n">
        <f aca="false">K$2*COS((PI()*K$1*$A3)/6)</f>
        <v>-0.029283</v>
      </c>
      <c r="L3" s="1" t="n">
        <f aca="false">L$2*SIN((PI()*L$1*$A3)/6)</f>
        <v>-0.0149874356378935</v>
      </c>
      <c r="M3" s="1" t="n">
        <f aca="false">M$2*COS((PI()*M$1*$A3)/6)</f>
        <v>0.00229496732002876</v>
      </c>
      <c r="N3" s="1" t="n">
        <f aca="false">N$2*SIN((PI()*N$1*$A3)/6)</f>
        <v>0.005792</v>
      </c>
      <c r="O3" s="2" t="n">
        <f aca="false">O$2*(-1)^(A3)</f>
        <v>-0.114941</v>
      </c>
      <c r="P3" s="2" t="n">
        <f aca="false">100*LN(C3)</f>
        <v>424.175831411093</v>
      </c>
      <c r="Q3" s="2" t="n">
        <f aca="false">SUM(E3:O3)</f>
        <v>-0.762253710465395</v>
      </c>
      <c r="R3" s="2" t="n">
        <f aca="false">P3-Q3</f>
        <v>424.938085121558</v>
      </c>
      <c r="S3" s="1" t="n">
        <f aca="false">EXP(R3/100)</f>
        <v>70.0620201003666</v>
      </c>
    </row>
    <row r="4" customFormat="false" ht="12.8" hidden="false" customHeight="false" outlineLevel="0" collapsed="false">
      <c r="A4" s="2" t="n">
        <v>2</v>
      </c>
      <c r="B4" s="2" t="s">
        <v>8</v>
      </c>
      <c r="C4" s="2" t="n">
        <v>69.59</v>
      </c>
      <c r="D4" s="2" t="n">
        <f aca="false">100*LN(C4)</f>
        <v>424.262087885676</v>
      </c>
      <c r="E4" s="2" t="n">
        <f aca="false">E$2*COS((PI()*E$1*$A4)/6)</f>
        <v>-0.080495</v>
      </c>
      <c r="F4" s="2" t="n">
        <f aca="false">F$2*SIN((PI()*F$1*$A4)/6)</f>
        <v>-0.143999240039661</v>
      </c>
      <c r="G4" s="1" t="n">
        <f aca="false">G$2*COS((PI()*G$1*$A4)/6)</f>
        <v>-0.1446345</v>
      </c>
      <c r="H4" s="1" t="n">
        <f aca="false">H$2*SIN((PI()*H$1*$A4)/6)</f>
        <v>-0.499983312392274</v>
      </c>
      <c r="I4" s="1" t="n">
        <f aca="false">I$2*COS((PI()*I$1*$A4)/6)</f>
        <v>-0.086102</v>
      </c>
      <c r="J4" s="1" t="n">
        <f aca="false">J$2*SIN((PI()*J$1*$A4)/6)</f>
        <v>-4.06839913144742E-018</v>
      </c>
      <c r="K4" s="1" t="n">
        <f aca="false">K$2*COS((PI()*K$1*$A4)/6)</f>
        <v>-0.029283</v>
      </c>
      <c r="L4" s="1" t="n">
        <f aca="false">L$2*SIN((PI()*L$1*$A4)/6)</f>
        <v>0.0149874356378935</v>
      </c>
      <c r="M4" s="1" t="n">
        <f aca="false">M$2*COS((PI()*M$1*$A4)/6)</f>
        <v>-0.001325</v>
      </c>
      <c r="N4" s="1" t="n">
        <f aca="false">N$2*SIN((PI()*N$1*$A4)/6)</f>
        <v>-0.0100320382774389</v>
      </c>
      <c r="O4" s="2" t="n">
        <f aca="false">O$2*(-1)^(A4)</f>
        <v>0.114941</v>
      </c>
      <c r="P4" s="2" t="n">
        <f aca="false">100*LN(C4)</f>
        <v>424.262087885676</v>
      </c>
      <c r="Q4" s="2" t="n">
        <f aca="false">SUM(E4:O4)</f>
        <v>-0.865925655071481</v>
      </c>
      <c r="R4" s="2" t="n">
        <f aca="false">P4-Q4</f>
        <v>425.128013540747</v>
      </c>
      <c r="S4" s="1" t="n">
        <f aca="false">EXP(R4/100)</f>
        <v>70.1952142343128</v>
      </c>
    </row>
    <row r="5" customFormat="false" ht="12.8" hidden="false" customHeight="false" outlineLevel="0" collapsed="false">
      <c r="A5" s="2" t="n">
        <v>3</v>
      </c>
      <c r="B5" s="2" t="s">
        <v>9</v>
      </c>
      <c r="C5" s="2" t="n">
        <v>70.165</v>
      </c>
      <c r="D5" s="2" t="n">
        <f aca="false">100*LN(C5)</f>
        <v>425.08496112031</v>
      </c>
      <c r="E5" s="2" t="n">
        <f aca="false">E$2*COS((PI()*E$1*$A5)/6)</f>
        <v>-9.85779440973662E-018</v>
      </c>
      <c r="F5" s="2" t="n">
        <f aca="false">F$2*SIN((PI()*F$1*$A5)/6)</f>
        <v>-0.166276</v>
      </c>
      <c r="G5" s="1" t="n">
        <f aca="false">G$2*COS((PI()*G$1*$A5)/6)</f>
        <v>-0.289269</v>
      </c>
      <c r="H5" s="1" t="n">
        <f aca="false">H$2*SIN((PI()*H$1*$A5)/6)</f>
        <v>-7.07026561198541E-017</v>
      </c>
      <c r="I5" s="1" t="n">
        <f aca="false">I$2*COS((PI()*I$1*$A5)/6)</f>
        <v>-1.58166808050278E-017</v>
      </c>
      <c r="J5" s="1" t="n">
        <f aca="false">J$2*SIN((PI()*J$1*$A5)/6)</f>
        <v>0.033221</v>
      </c>
      <c r="K5" s="1" t="n">
        <f aca="false">K$2*COS((PI()*K$1*$A5)/6)</f>
        <v>0.058566</v>
      </c>
      <c r="L5" s="1" t="n">
        <f aca="false">L$2*SIN((PI()*L$1*$A5)/6)</f>
        <v>4.23874750120882E-018</v>
      </c>
      <c r="M5" s="1" t="n">
        <f aca="false">M$2*COS((PI()*M$1*$A5)/6)</f>
        <v>-3.16500131664045E-018</v>
      </c>
      <c r="N5" s="1" t="n">
        <f aca="false">N$2*SIN((PI()*N$1*$A5)/6)</f>
        <v>0.011584</v>
      </c>
      <c r="O5" s="2" t="n">
        <f aca="false">O$2*(-1)^(A5)</f>
        <v>-0.114941</v>
      </c>
      <c r="P5" s="2" t="n">
        <f aca="false">100*LN(C5)</f>
        <v>425.08496112031</v>
      </c>
      <c r="Q5" s="2" t="n">
        <f aca="false">SUM(E5:O5)</f>
        <v>-0.467115</v>
      </c>
      <c r="R5" s="2" t="n">
        <f aca="false">P5-Q5</f>
        <v>425.55207612031</v>
      </c>
      <c r="S5" s="1" t="n">
        <f aca="false">EXP(R5/100)</f>
        <v>70.4935179206474</v>
      </c>
    </row>
    <row r="6" customFormat="false" ht="12.8" hidden="false" customHeight="false" outlineLevel="0" collapsed="false">
      <c r="A6" s="2" t="n">
        <v>4</v>
      </c>
      <c r="B6" s="2" t="s">
        <v>10</v>
      </c>
      <c r="C6" s="2" t="n">
        <v>71.118</v>
      </c>
      <c r="D6" s="2" t="n">
        <f aca="false">100*LN(C6)</f>
        <v>426.434046932542</v>
      </c>
      <c r="E6" s="2" t="n">
        <f aca="false">E$2*COS((PI()*E$1*$A6)/6)</f>
        <v>0.080495</v>
      </c>
      <c r="F6" s="2" t="n">
        <f aca="false">F$2*SIN((PI()*F$1*$A6)/6)</f>
        <v>-0.143999240039661</v>
      </c>
      <c r="G6" s="1" t="n">
        <f aca="false">G$2*COS((PI()*G$1*$A6)/6)</f>
        <v>-0.1446345</v>
      </c>
      <c r="H6" s="1" t="n">
        <f aca="false">H$2*SIN((PI()*H$1*$A6)/6)</f>
        <v>0.499983312392274</v>
      </c>
      <c r="I6" s="1" t="n">
        <f aca="false">I$2*COS((PI()*I$1*$A6)/6)</f>
        <v>0.086102</v>
      </c>
      <c r="J6" s="1" t="n">
        <f aca="false">J$2*SIN((PI()*J$1*$A6)/6)</f>
        <v>8.13679826289485E-018</v>
      </c>
      <c r="K6" s="1" t="n">
        <f aca="false">K$2*COS((PI()*K$1*$A6)/6)</f>
        <v>-0.029283</v>
      </c>
      <c r="L6" s="1" t="n">
        <f aca="false">L$2*SIN((PI()*L$1*$A6)/6)</f>
        <v>-0.0149874356378935</v>
      </c>
      <c r="M6" s="1" t="n">
        <f aca="false">M$2*COS((PI()*M$1*$A6)/6)</f>
        <v>0.001325</v>
      </c>
      <c r="N6" s="1" t="n">
        <f aca="false">N$2*SIN((PI()*N$1*$A6)/6)</f>
        <v>-0.0100320382774389</v>
      </c>
      <c r="O6" s="2" t="n">
        <f aca="false">O$2*(-1)^(A6)</f>
        <v>0.114941</v>
      </c>
      <c r="P6" s="2" t="n">
        <f aca="false">100*LN(C6)</f>
        <v>426.434046932542</v>
      </c>
      <c r="Q6" s="2" t="n">
        <f aca="false">SUM(E6:O6)</f>
        <v>0.43991009843728</v>
      </c>
      <c r="R6" s="2" t="n">
        <f aca="false">P6-Q6</f>
        <v>425.994136834105</v>
      </c>
      <c r="S6" s="1" t="n">
        <f aca="false">EXP(R6/100)</f>
        <v>70.8058318691844</v>
      </c>
    </row>
    <row r="7" customFormat="false" ht="12.8" hidden="false" customHeight="false" outlineLevel="0" collapsed="false">
      <c r="A7" s="2" t="n">
        <v>5</v>
      </c>
      <c r="B7" s="2" t="s">
        <v>11</v>
      </c>
      <c r="C7" s="2" t="n">
        <v>71.374</v>
      </c>
      <c r="D7" s="2" t="n">
        <f aca="false">100*LN(C7)</f>
        <v>426.793365737015</v>
      </c>
      <c r="E7" s="2" t="n">
        <f aca="false">E$2*COS((PI()*E$1*$A7)/6)</f>
        <v>0.139421429755257</v>
      </c>
      <c r="F7" s="2" t="n">
        <f aca="false">F$2*SIN((PI()*F$1*$A7)/6)</f>
        <v>-0.083138</v>
      </c>
      <c r="G7" s="1" t="n">
        <f aca="false">G$2*COS((PI()*G$1*$A7)/6)</f>
        <v>0.1446345</v>
      </c>
      <c r="H7" s="1" t="n">
        <f aca="false">H$2*SIN((PI()*H$1*$A7)/6)</f>
        <v>0.499983312392274</v>
      </c>
      <c r="I7" s="1" t="n">
        <f aca="false">I$2*COS((PI()*I$1*$A7)/6)</f>
        <v>1.02835072968067E-016</v>
      </c>
      <c r="J7" s="1" t="n">
        <f aca="false">J$2*SIN((PI()*J$1*$A7)/6)</f>
        <v>-0.033221</v>
      </c>
      <c r="K7" s="1" t="n">
        <f aca="false">K$2*COS((PI()*K$1*$A7)/6)</f>
        <v>-0.029283</v>
      </c>
      <c r="L7" s="1" t="n">
        <f aca="false">L$2*SIN((PI()*L$1*$A7)/6)</f>
        <v>0.0149874356378935</v>
      </c>
      <c r="M7" s="1" t="n">
        <f aca="false">M$2*COS((PI()*M$1*$A7)/6)</f>
        <v>-0.00229496732002876</v>
      </c>
      <c r="N7" s="1" t="n">
        <f aca="false">N$2*SIN((PI()*N$1*$A7)/6)</f>
        <v>0.00579200000000001</v>
      </c>
      <c r="O7" s="2" t="n">
        <f aca="false">O$2*(-1)^(A7)</f>
        <v>-0.114941</v>
      </c>
      <c r="P7" s="2" t="n">
        <f aca="false">100*LN(C7)</f>
        <v>426.793365737015</v>
      </c>
      <c r="Q7" s="2" t="n">
        <f aca="false">SUM(E7:O7)</f>
        <v>0.541940710465396</v>
      </c>
      <c r="R7" s="2" t="n">
        <f aca="false">P7-Q7</f>
        <v>426.251425026549</v>
      </c>
      <c r="S7" s="1" t="n">
        <f aca="false">EXP(R7/100)</f>
        <v>70.9882414727069</v>
      </c>
    </row>
    <row r="8" customFormat="false" ht="12.8" hidden="false" customHeight="false" outlineLevel="0" collapsed="false">
      <c r="A8" s="2" t="n">
        <v>6</v>
      </c>
      <c r="B8" s="2" t="s">
        <v>12</v>
      </c>
      <c r="C8" s="2" t="n">
        <v>71.377</v>
      </c>
      <c r="D8" s="2" t="n">
        <f aca="false">100*LN(C8)</f>
        <v>426.797568859935</v>
      </c>
      <c r="E8" s="2" t="n">
        <f aca="false">E$2*COS((PI()*E$1*$A8)/6)</f>
        <v>0.16099</v>
      </c>
      <c r="F8" s="2" t="n">
        <f aca="false">F$2*SIN((PI()*F$1*$A8)/6)</f>
        <v>-2.03629371175025E-017</v>
      </c>
      <c r="G8" s="1" t="n">
        <f aca="false">G$2*COS((PI()*G$1*$A8)/6)</f>
        <v>0.289269</v>
      </c>
      <c r="H8" s="1" t="n">
        <f aca="false">H$2*SIN((PI()*H$1*$A8)/6)</f>
        <v>1.41405312239708E-016</v>
      </c>
      <c r="I8" s="1" t="n">
        <f aca="false">I$2*COS((PI()*I$1*$A8)/6)</f>
        <v>-0.086102</v>
      </c>
      <c r="J8" s="1" t="n">
        <f aca="false">J$2*SIN((PI()*J$1*$A8)/6)</f>
        <v>-1.22051973943423E-017</v>
      </c>
      <c r="K8" s="1" t="n">
        <f aca="false">K$2*COS((PI()*K$1*$A8)/6)</f>
        <v>0.058566</v>
      </c>
      <c r="L8" s="1" t="n">
        <f aca="false">L$2*SIN((PI()*L$1*$A8)/6)</f>
        <v>8.47749500241764E-018</v>
      </c>
      <c r="M8" s="1" t="n">
        <f aca="false">M$2*COS((PI()*M$1*$A8)/6)</f>
        <v>0.00265</v>
      </c>
      <c r="N8" s="1" t="n">
        <f aca="false">N$2*SIN((PI()*N$1*$A8)/6)</f>
        <v>2.7670471888274E-017</v>
      </c>
      <c r="O8" s="2" t="n">
        <f aca="false">O$2*(-1)^(A8)</f>
        <v>0.114941</v>
      </c>
      <c r="P8" s="2" t="n">
        <f aca="false">100*LN(C8)</f>
        <v>426.797568859935</v>
      </c>
      <c r="Q8" s="2" t="n">
        <f aca="false">SUM(E8:O8)</f>
        <v>0.540314</v>
      </c>
      <c r="R8" s="2" t="n">
        <f aca="false">P8-Q8</f>
        <v>426.257254859935</v>
      </c>
      <c r="S8" s="1" t="n">
        <f aca="false">EXP(R8/100)</f>
        <v>70.9923800895446</v>
      </c>
    </row>
    <row r="9" customFormat="false" ht="12.8" hidden="false" customHeight="false" outlineLevel="0" collapsed="false">
      <c r="A9" s="2" t="n">
        <v>7</v>
      </c>
      <c r="B9" s="2" t="s">
        <v>13</v>
      </c>
      <c r="C9" s="2" t="n">
        <v>70.882</v>
      </c>
      <c r="D9" s="2" t="n">
        <f aca="false">100*LN(C9)</f>
        <v>426.101652260303</v>
      </c>
      <c r="E9" s="2" t="n">
        <f aca="false">E$2*COS((PI()*E$1*$A9)/6)</f>
        <v>0.139421429755257</v>
      </c>
      <c r="F9" s="2" t="n">
        <f aca="false">F$2*SIN((PI()*F$1*$A9)/6)</f>
        <v>0.083138</v>
      </c>
      <c r="G9" s="1" t="n">
        <f aca="false">G$2*COS((PI()*G$1*$A9)/6)</f>
        <v>0.1446345</v>
      </c>
      <c r="H9" s="1" t="n">
        <f aca="false">H$2*SIN((PI()*H$1*$A9)/6)</f>
        <v>-0.499983312392274</v>
      </c>
      <c r="I9" s="1" t="n">
        <f aca="false">I$2*COS((PI()*I$1*$A9)/6)</f>
        <v>-3.69055885450649E-017</v>
      </c>
      <c r="J9" s="1" t="n">
        <f aca="false">J$2*SIN((PI()*J$1*$A9)/6)</f>
        <v>0.033221</v>
      </c>
      <c r="K9" s="1" t="n">
        <f aca="false">K$2*COS((PI()*K$1*$A9)/6)</f>
        <v>-0.0292829999999999</v>
      </c>
      <c r="L9" s="1" t="n">
        <f aca="false">L$2*SIN((PI()*L$1*$A9)/6)</f>
        <v>-0.0149874356378935</v>
      </c>
      <c r="M9" s="1" t="n">
        <f aca="false">M$2*COS((PI()*M$1*$A9)/6)</f>
        <v>-0.00229496732002876</v>
      </c>
      <c r="N9" s="1" t="n">
        <f aca="false">N$2*SIN((PI()*N$1*$A9)/6)</f>
        <v>-0.005792</v>
      </c>
      <c r="O9" s="2" t="n">
        <f aca="false">O$2*(-1)^(A9)</f>
        <v>-0.114941</v>
      </c>
      <c r="P9" s="2" t="n">
        <f aca="false">100*LN(C9)</f>
        <v>426.101652260303</v>
      </c>
      <c r="Q9" s="2" t="n">
        <f aca="false">SUM(E9:O9)</f>
        <v>-0.266866785594939</v>
      </c>
      <c r="R9" s="2" t="n">
        <f aca="false">P9-Q9</f>
        <v>426.368519045898</v>
      </c>
      <c r="S9" s="1" t="n">
        <f aca="false">EXP(R9/100)</f>
        <v>71.0714131429351</v>
      </c>
    </row>
    <row r="10" customFormat="false" ht="12.8" hidden="false" customHeight="false" outlineLevel="0" collapsed="false">
      <c r="A10" s="2" t="n">
        <v>8</v>
      </c>
      <c r="B10" s="2" t="s">
        <v>14</v>
      </c>
      <c r="C10" s="2" t="n">
        <v>71.085</v>
      </c>
      <c r="D10" s="2" t="n">
        <f aca="false">100*LN(C10)</f>
        <v>426.387634408766</v>
      </c>
      <c r="E10" s="2" t="n">
        <f aca="false">E$2*COS((PI()*E$1*$A10)/6)</f>
        <v>0.0804950000000001</v>
      </c>
      <c r="F10" s="2" t="n">
        <f aca="false">F$2*SIN((PI()*F$1*$A10)/6)</f>
        <v>0.143999240039661</v>
      </c>
      <c r="G10" s="1" t="n">
        <f aca="false">G$2*COS((PI()*G$1*$A10)/6)</f>
        <v>-0.1446345</v>
      </c>
      <c r="H10" s="1" t="n">
        <f aca="false">H$2*SIN((PI()*H$1*$A10)/6)</f>
        <v>-0.499983312392274</v>
      </c>
      <c r="I10" s="1" t="n">
        <f aca="false">I$2*COS((PI()*I$1*$A10)/6)</f>
        <v>0.086102</v>
      </c>
      <c r="J10" s="1" t="n">
        <f aca="false">J$2*SIN((PI()*J$1*$A10)/6)</f>
        <v>1.62735965257897E-017</v>
      </c>
      <c r="K10" s="1" t="n">
        <f aca="false">K$2*COS((PI()*K$1*$A10)/6)</f>
        <v>-0.0292830000000001</v>
      </c>
      <c r="L10" s="1" t="n">
        <f aca="false">L$2*SIN((PI()*L$1*$A10)/6)</f>
        <v>0.0149874356378935</v>
      </c>
      <c r="M10" s="1" t="n">
        <f aca="false">M$2*COS((PI()*M$1*$A10)/6)</f>
        <v>0.001325</v>
      </c>
      <c r="N10" s="1" t="n">
        <f aca="false">N$2*SIN((PI()*N$1*$A10)/6)</f>
        <v>0.0100320382774389</v>
      </c>
      <c r="O10" s="2" t="n">
        <f aca="false">O$2*(-1)^(A10)</f>
        <v>0.114941</v>
      </c>
      <c r="P10" s="2" t="n">
        <f aca="false">100*LN(C10)</f>
        <v>426.387634408766</v>
      </c>
      <c r="Q10" s="2" t="n">
        <f aca="false">SUM(E10:O10)</f>
        <v>-0.22201909843728</v>
      </c>
      <c r="R10" s="2" t="n">
        <f aca="false">P10-Q10</f>
        <v>426.609653507203</v>
      </c>
      <c r="S10" s="1" t="n">
        <f aca="false">EXP(R10/100)</f>
        <v>71.2429976036509</v>
      </c>
    </row>
    <row r="11" customFormat="false" ht="12.8" hidden="false" customHeight="false" outlineLevel="0" collapsed="false">
      <c r="A11" s="2" t="n">
        <v>9</v>
      </c>
      <c r="B11" s="2" t="s">
        <v>15</v>
      </c>
      <c r="C11" s="2" t="n">
        <v>71.351</v>
      </c>
      <c r="D11" s="2" t="n">
        <f aca="false">100*LN(C11)</f>
        <v>426.761135924159</v>
      </c>
      <c r="E11" s="2" t="n">
        <f aca="false">E$2*COS((PI()*E$1*$A11)/6)</f>
        <v>2.95733832292099E-017</v>
      </c>
      <c r="F11" s="2" t="n">
        <f aca="false">F$2*SIN((PI()*F$1*$A11)/6)</f>
        <v>0.166276</v>
      </c>
      <c r="G11" s="1" t="n">
        <f aca="false">G$2*COS((PI()*G$1*$A11)/6)</f>
        <v>-0.289269</v>
      </c>
      <c r="H11" s="1" t="n">
        <f aca="false">H$2*SIN((PI()*H$1*$A11)/6)</f>
        <v>-2.12107968359562E-016</v>
      </c>
      <c r="I11" s="1" t="n">
        <f aca="false">I$2*COS((PI()*I$1*$A11)/6)</f>
        <v>4.74500424150834E-017</v>
      </c>
      <c r="J11" s="1" t="n">
        <f aca="false">J$2*SIN((PI()*J$1*$A11)/6)</f>
        <v>-0.033221</v>
      </c>
      <c r="K11" s="1" t="n">
        <f aca="false">K$2*COS((PI()*K$1*$A11)/6)</f>
        <v>0.058566</v>
      </c>
      <c r="L11" s="1" t="n">
        <f aca="false">L$2*SIN((PI()*L$1*$A11)/6)</f>
        <v>1.27162425036265E-017</v>
      </c>
      <c r="M11" s="1" t="n">
        <f aca="false">M$2*COS((PI()*M$1*$A11)/6)</f>
        <v>-2.2733601111053E-018</v>
      </c>
      <c r="N11" s="1" t="n">
        <f aca="false">N$2*SIN((PI()*N$1*$A11)/6)</f>
        <v>-0.011584</v>
      </c>
      <c r="O11" s="2" t="n">
        <f aca="false">O$2*(-1)^(A11)</f>
        <v>-0.114941</v>
      </c>
      <c r="P11" s="2" t="n">
        <f aca="false">100*LN(C11)</f>
        <v>426.761135924159</v>
      </c>
      <c r="Q11" s="2" t="n">
        <f aca="false">SUM(E11:O11)</f>
        <v>-0.224173</v>
      </c>
      <c r="R11" s="2" t="n">
        <f aca="false">P11-Q11</f>
        <v>426.985308924159</v>
      </c>
      <c r="S11" s="1" t="n">
        <f aca="false">EXP(R11/100)</f>
        <v>71.5111290932674</v>
      </c>
    </row>
    <row r="12" customFormat="false" ht="12.8" hidden="false" customHeight="false" outlineLevel="0" collapsed="false">
      <c r="A12" s="2" t="n">
        <v>10</v>
      </c>
      <c r="B12" s="2" t="s">
        <v>16</v>
      </c>
      <c r="C12" s="2" t="n">
        <v>72.058</v>
      </c>
      <c r="D12" s="2" t="n">
        <f aca="false">100*LN(C12)</f>
        <v>427.747135028588</v>
      </c>
      <c r="E12" s="2" t="n">
        <f aca="false">E$2*COS((PI()*E$1*$A12)/6)</f>
        <v>-0.080495</v>
      </c>
      <c r="F12" s="2" t="n">
        <f aca="false">F$2*SIN((PI()*F$1*$A12)/6)</f>
        <v>0.143999240039661</v>
      </c>
      <c r="G12" s="1" t="n">
        <f aca="false">G$2*COS((PI()*G$1*$A12)/6)</f>
        <v>-0.1446345</v>
      </c>
      <c r="H12" s="1" t="n">
        <f aca="false">H$2*SIN((PI()*H$1*$A12)/6)</f>
        <v>0.499983312392274</v>
      </c>
      <c r="I12" s="1" t="n">
        <f aca="false">I$2*COS((PI()*I$1*$A12)/6)</f>
        <v>-0.086102</v>
      </c>
      <c r="J12" s="1" t="n">
        <f aca="false">J$2*SIN((PI()*J$1*$A12)/6)</f>
        <v>-7.93543462189528E-017</v>
      </c>
      <c r="K12" s="1" t="n">
        <f aca="false">K$2*COS((PI()*K$1*$A12)/6)</f>
        <v>-0.029283</v>
      </c>
      <c r="L12" s="1" t="n">
        <f aca="false">L$2*SIN((PI()*L$1*$A12)/6)</f>
        <v>-0.0149874356378935</v>
      </c>
      <c r="M12" s="1" t="n">
        <f aca="false">M$2*COS((PI()*M$1*$A12)/6)</f>
        <v>-0.001325</v>
      </c>
      <c r="N12" s="1" t="n">
        <f aca="false">N$2*SIN((PI()*N$1*$A12)/6)</f>
        <v>0.0100320382774389</v>
      </c>
      <c r="O12" s="2" t="n">
        <f aca="false">O$2*(-1)^(A12)</f>
        <v>0.114941</v>
      </c>
      <c r="P12" s="2" t="n">
        <f aca="false">100*LN(C12)</f>
        <v>427.747135028588</v>
      </c>
      <c r="Q12" s="2" t="n">
        <f aca="false">SUM(E12:O12)</f>
        <v>0.412128655071481</v>
      </c>
      <c r="R12" s="2" t="n">
        <f aca="false">P12-Q12</f>
        <v>427.335006373516</v>
      </c>
      <c r="S12" s="1" t="n">
        <f aca="false">EXP(R12/100)</f>
        <v>71.7616394465837</v>
      </c>
    </row>
    <row r="13" customFormat="false" ht="12.8" hidden="false" customHeight="false" outlineLevel="0" collapsed="false">
      <c r="A13" s="2" t="n">
        <v>11</v>
      </c>
      <c r="B13" s="2" t="s">
        <v>17</v>
      </c>
      <c r="C13" s="2" t="n">
        <v>72.169</v>
      </c>
      <c r="D13" s="2" t="n">
        <f aca="false">100*LN(C13)</f>
        <v>427.901059081526</v>
      </c>
      <c r="E13" s="2" t="n">
        <f aca="false">E$2*COS((PI()*E$1*$A13)/6)</f>
        <v>-0.139421429755257</v>
      </c>
      <c r="F13" s="2" t="n">
        <f aca="false">F$2*SIN((PI()*F$1*$A13)/6)</f>
        <v>0.0831380000000001</v>
      </c>
      <c r="G13" s="1" t="n">
        <f aca="false">G$2*COS((PI()*G$1*$A13)/6)</f>
        <v>0.1446345</v>
      </c>
      <c r="H13" s="1" t="n">
        <f aca="false">H$2*SIN((PI()*H$1*$A13)/6)</f>
        <v>0.499983312392274</v>
      </c>
      <c r="I13" s="1" t="n">
        <f aca="false">I$2*COS((PI()*I$1*$A13)/6)</f>
        <v>9.49533803009384E-017</v>
      </c>
      <c r="J13" s="1" t="n">
        <f aca="false">J$2*SIN((PI()*J$1*$A13)/6)</f>
        <v>0.033221</v>
      </c>
      <c r="K13" s="1" t="n">
        <f aca="false">K$2*COS((PI()*K$1*$A13)/6)</f>
        <v>-0.0292830000000001</v>
      </c>
      <c r="L13" s="1" t="n">
        <f aca="false">L$2*SIN((PI()*L$1*$A13)/6)</f>
        <v>0.0149874356378935</v>
      </c>
      <c r="M13" s="1" t="n">
        <f aca="false">M$2*COS((PI()*M$1*$A13)/6)</f>
        <v>0.00229496732002876</v>
      </c>
      <c r="N13" s="1" t="n">
        <f aca="false">N$2*SIN((PI()*N$1*$A13)/6)</f>
        <v>-0.00579200000000002</v>
      </c>
      <c r="O13" s="2" t="n">
        <f aca="false">O$2*(-1)^(A13)</f>
        <v>-0.114941</v>
      </c>
      <c r="P13" s="2" t="n">
        <f aca="false">100*LN(C13)</f>
        <v>427.901059081526</v>
      </c>
      <c r="Q13" s="2" t="n">
        <f aca="false">SUM(E13:O13)</f>
        <v>0.488821785594939</v>
      </c>
      <c r="R13" s="2" t="n">
        <f aca="false">P13-Q13</f>
        <v>427.412237295931</v>
      </c>
      <c r="S13" s="1" t="n">
        <f aca="false">EXP(R13/100)</f>
        <v>71.8170830297078</v>
      </c>
    </row>
    <row r="14" customFormat="false" ht="12.8" hidden="false" customHeight="false" outlineLevel="0" collapsed="false">
      <c r="A14" s="2" t="n">
        <v>12</v>
      </c>
      <c r="B14" s="2" t="s">
        <v>18</v>
      </c>
      <c r="C14" s="2" t="n">
        <v>72.409</v>
      </c>
      <c r="D14" s="2" t="n">
        <f aca="false">100*LN(C14)</f>
        <v>428.233060105816</v>
      </c>
      <c r="E14" s="2" t="n">
        <f aca="false">E$2*COS((PI()*E$1*$A14)/6)</f>
        <v>-0.16099</v>
      </c>
      <c r="F14" s="2" t="n">
        <f aca="false">F$2*SIN((PI()*F$1*$A14)/6)</f>
        <v>4.07258742350051E-017</v>
      </c>
      <c r="G14" s="1" t="n">
        <f aca="false">G$2*COS((PI()*G$1*$A14)/6)</f>
        <v>0.289269</v>
      </c>
      <c r="H14" s="1" t="n">
        <f aca="false">H$2*SIN((PI()*H$1*$A14)/6)</f>
        <v>2.82810624479416E-016</v>
      </c>
      <c r="I14" s="1" t="n">
        <f aca="false">I$2*COS((PI()*I$1*$A14)/6)</f>
        <v>0.086102</v>
      </c>
      <c r="J14" s="1" t="n">
        <f aca="false">J$2*SIN((PI()*J$1*$A14)/6)</f>
        <v>2.44103947886845E-017</v>
      </c>
      <c r="K14" s="1" t="n">
        <f aca="false">K$2*COS((PI()*K$1*$A14)/6)</f>
        <v>0.058566</v>
      </c>
      <c r="L14" s="1" t="n">
        <f aca="false">L$2*SIN((PI()*L$1*$A14)/6)</f>
        <v>1.69549900048353E-017</v>
      </c>
      <c r="M14" s="1" t="n">
        <f aca="false">M$2*COS((PI()*M$1*$A14)/6)</f>
        <v>-0.00265</v>
      </c>
      <c r="N14" s="1" t="n">
        <f aca="false">N$2*SIN((PI()*N$1*$A14)/6)</f>
        <v>-5.53409437765479E-017</v>
      </c>
      <c r="O14" s="2" t="n">
        <f aca="false">O$2*(-1)^(A14)</f>
        <v>0.114941</v>
      </c>
      <c r="P14" s="2" t="n">
        <f aca="false">100*LN(C14)</f>
        <v>428.233060105816</v>
      </c>
      <c r="Q14" s="2" t="n">
        <f aca="false">SUM(E14:O14)</f>
        <v>0.385238</v>
      </c>
      <c r="R14" s="2" t="n">
        <f aca="false">P14-Q14</f>
        <v>427.847822105816</v>
      </c>
      <c r="S14" s="1" t="n">
        <f aca="false">EXP(R14/100)</f>
        <v>72.1305896321665</v>
      </c>
    </row>
    <row r="15" customFormat="false" ht="12.8" hidden="false" customHeight="false" outlineLevel="0" collapsed="false">
      <c r="A15" s="2" t="n">
        <v>13</v>
      </c>
      <c r="B15" s="2" t="s">
        <v>19</v>
      </c>
      <c r="C15" s="2" t="n">
        <v>72.111</v>
      </c>
      <c r="D15" s="2" t="n">
        <f aca="false">100*LN(C15)</f>
        <v>427.820659853463</v>
      </c>
      <c r="E15" s="2" t="n">
        <f aca="false">E$2*COS((PI()*E$1*$A15)/6)</f>
        <v>-0.139421429755257</v>
      </c>
      <c r="F15" s="2" t="n">
        <f aca="false">F$2*SIN((PI()*F$1*$A15)/6)</f>
        <v>-0.083138</v>
      </c>
      <c r="G15" s="1" t="n">
        <f aca="false">G$2*COS((PI()*G$1*$A15)/6)</f>
        <v>0.1446345</v>
      </c>
      <c r="H15" s="1" t="n">
        <f aca="false">H$2*SIN((PI()*H$1*$A15)/6)</f>
        <v>-0.499983312392274</v>
      </c>
      <c r="I15" s="1" t="n">
        <f aca="false">I$2*COS((PI()*I$1*$A15)/6)</f>
        <v>2.21486826741161E-016</v>
      </c>
      <c r="J15" s="1" t="n">
        <f aca="false">J$2*SIN((PI()*J$1*$A15)/6)</f>
        <v>-0.033221</v>
      </c>
      <c r="K15" s="1" t="n">
        <f aca="false">K$2*COS((PI()*K$1*$A15)/6)</f>
        <v>-0.029283</v>
      </c>
      <c r="L15" s="1" t="n">
        <f aca="false">L$2*SIN((PI()*L$1*$A15)/6)</f>
        <v>-0.0149874356378935</v>
      </c>
      <c r="M15" s="1" t="n">
        <f aca="false">M$2*COS((PI()*M$1*$A15)/6)</f>
        <v>0.00229496732002876</v>
      </c>
      <c r="N15" s="1" t="n">
        <f aca="false">N$2*SIN((PI()*N$1*$A15)/6)</f>
        <v>0.00579200000000001</v>
      </c>
      <c r="O15" s="2" t="n">
        <f aca="false">O$2*(-1)^(A15)</f>
        <v>-0.114941</v>
      </c>
      <c r="P15" s="2" t="n">
        <f aca="false">100*LN(C15)</f>
        <v>427.820659853463</v>
      </c>
      <c r="Q15" s="2" t="n">
        <f aca="false">SUM(E15:O15)</f>
        <v>-0.762253710465395</v>
      </c>
      <c r="R15" s="2" t="n">
        <f aca="false">P15-Q15</f>
        <v>428.582913563929</v>
      </c>
      <c r="S15" s="1" t="n">
        <f aca="false">EXP(R15/100)</f>
        <v>72.6627690415294</v>
      </c>
    </row>
    <row r="16" customFormat="false" ht="12.8" hidden="false" customHeight="false" outlineLevel="0" collapsed="false">
      <c r="A16" s="2" t="n">
        <v>14</v>
      </c>
      <c r="B16" s="2" t="s">
        <v>20</v>
      </c>
      <c r="C16" s="2" t="n">
        <v>72.264</v>
      </c>
      <c r="D16" s="2" t="n">
        <f aca="false">100*LN(C16)</f>
        <v>428.032607984754</v>
      </c>
      <c r="E16" s="2" t="n">
        <f aca="false">E$2*COS((PI()*E$1*$A16)/6)</f>
        <v>-0.0804950000000001</v>
      </c>
      <c r="F16" s="2" t="n">
        <f aca="false">F$2*SIN((PI()*F$1*$A16)/6)</f>
        <v>-0.143999240039661</v>
      </c>
      <c r="G16" s="1" t="n">
        <f aca="false">G$2*COS((PI()*G$1*$A16)/6)</f>
        <v>-0.1446345</v>
      </c>
      <c r="H16" s="1" t="n">
        <f aca="false">H$2*SIN((PI()*H$1*$A16)/6)</f>
        <v>-0.499983312392274</v>
      </c>
      <c r="I16" s="1" t="n">
        <f aca="false">I$2*COS((PI()*I$1*$A16)/6)</f>
        <v>-0.086102</v>
      </c>
      <c r="J16" s="1" t="n">
        <f aca="false">J$2*SIN((PI()*J$1*$A16)/6)</f>
        <v>-2.8478793920132E-017</v>
      </c>
      <c r="K16" s="1" t="n">
        <f aca="false">K$2*COS((PI()*K$1*$A16)/6)</f>
        <v>-0.0292830000000001</v>
      </c>
      <c r="L16" s="1" t="n">
        <f aca="false">L$2*SIN((PI()*L$1*$A16)/6)</f>
        <v>0.0149874356378935</v>
      </c>
      <c r="M16" s="1" t="n">
        <f aca="false">M$2*COS((PI()*M$1*$A16)/6)</f>
        <v>-0.001325</v>
      </c>
      <c r="N16" s="1" t="n">
        <f aca="false">N$2*SIN((PI()*N$1*$A16)/6)</f>
        <v>-0.0100320382774389</v>
      </c>
      <c r="O16" s="2" t="n">
        <f aca="false">O$2*(-1)^(A16)</f>
        <v>0.114941</v>
      </c>
      <c r="P16" s="2" t="n">
        <f aca="false">100*LN(C16)</f>
        <v>428.032607984754</v>
      </c>
      <c r="Q16" s="2" t="n">
        <f aca="false">SUM(E16:O16)</f>
        <v>-0.865925655071481</v>
      </c>
      <c r="R16" s="2" t="n">
        <f aca="false">P16-Q16</f>
        <v>428.898533639826</v>
      </c>
      <c r="S16" s="1" t="n">
        <f aca="false">EXP(R16/100)</f>
        <v>72.8924696282279</v>
      </c>
    </row>
    <row r="17" customFormat="false" ht="12.8" hidden="false" customHeight="false" outlineLevel="0" collapsed="false">
      <c r="A17" s="2" t="n">
        <v>15</v>
      </c>
      <c r="B17" s="2" t="s">
        <v>21</v>
      </c>
      <c r="C17" s="2" t="n">
        <v>72.765</v>
      </c>
      <c r="D17" s="2" t="n">
        <f aca="false">100*LN(C17)</f>
        <v>428.723507036529</v>
      </c>
      <c r="E17" s="2" t="n">
        <f aca="false">E$2*COS((PI()*E$1*$A17)/6)</f>
        <v>-1.92276815836206E-016</v>
      </c>
      <c r="F17" s="2" t="n">
        <f aca="false">F$2*SIN((PI()*F$1*$A17)/6)</f>
        <v>-0.166276</v>
      </c>
      <c r="G17" s="1" t="n">
        <f aca="false">G$2*COS((PI()*G$1*$A17)/6)</f>
        <v>-0.289269</v>
      </c>
      <c r="H17" s="1" t="n">
        <f aca="false">H$2*SIN((PI()*H$1*$A17)/6)</f>
        <v>-1.37905915104706E-015</v>
      </c>
      <c r="I17" s="1" t="n">
        <f aca="false">I$2*COS((PI()*I$1*$A17)/6)</f>
        <v>7.38644725609013E-017</v>
      </c>
      <c r="J17" s="1" t="n">
        <f aca="false">J$2*SIN((PI()*J$1*$A17)/6)</f>
        <v>0.033221</v>
      </c>
      <c r="K17" s="1" t="n">
        <f aca="false">K$2*COS((PI()*K$1*$A17)/6)</f>
        <v>0.058566</v>
      </c>
      <c r="L17" s="1" t="n">
        <f aca="false">L$2*SIN((PI()*L$1*$A17)/6)</f>
        <v>8.26770004313656E-017</v>
      </c>
      <c r="M17" s="1" t="n">
        <f aca="false">M$2*COS((PI()*M$1*$A17)/6)</f>
        <v>6.50703102235056E-019</v>
      </c>
      <c r="N17" s="1" t="n">
        <f aca="false">N$2*SIN((PI()*N$1*$A17)/6)</f>
        <v>0.011584</v>
      </c>
      <c r="O17" s="2" t="n">
        <f aca="false">O$2*(-1)^(A17)</f>
        <v>-0.114941</v>
      </c>
      <c r="P17" s="2" t="n">
        <f aca="false">100*LN(C17)</f>
        <v>428.723507036529</v>
      </c>
      <c r="Q17" s="2" t="n">
        <f aca="false">SUM(E17:O17)</f>
        <v>-0.467115000000001</v>
      </c>
      <c r="R17" s="2" t="n">
        <f aca="false">P17-Q17</f>
        <v>429.190622036529</v>
      </c>
      <c r="S17" s="1" t="n">
        <f aca="false">EXP(R17/100)</f>
        <v>73.1056913204006</v>
      </c>
    </row>
    <row r="18" customFormat="false" ht="12.8" hidden="false" customHeight="false" outlineLevel="0" collapsed="false">
      <c r="A18" s="2" t="n">
        <v>16</v>
      </c>
      <c r="B18" s="2" t="s">
        <v>22</v>
      </c>
      <c r="C18" s="2" t="n">
        <v>73.357</v>
      </c>
      <c r="D18" s="2" t="n">
        <f aca="false">100*LN(C18)</f>
        <v>429.533793289173</v>
      </c>
      <c r="E18" s="2" t="n">
        <f aca="false">E$2*COS((PI()*E$1*$A18)/6)</f>
        <v>0.0804949999999999</v>
      </c>
      <c r="F18" s="2" t="n">
        <f aca="false">F$2*SIN((PI()*F$1*$A18)/6)</f>
        <v>-0.143999240039661</v>
      </c>
      <c r="G18" s="1" t="n">
        <f aca="false">G$2*COS((PI()*G$1*$A18)/6)</f>
        <v>-0.1446345</v>
      </c>
      <c r="H18" s="1" t="n">
        <f aca="false">H$2*SIN((PI()*H$1*$A18)/6)</f>
        <v>0.499983312392273</v>
      </c>
      <c r="I18" s="1" t="n">
        <f aca="false">I$2*COS((PI()*I$1*$A18)/6)</f>
        <v>0.086102</v>
      </c>
      <c r="J18" s="1" t="n">
        <f aca="false">J$2*SIN((PI()*J$1*$A18)/6)</f>
        <v>3.25471930515794E-017</v>
      </c>
      <c r="K18" s="1" t="n">
        <f aca="false">K$2*COS((PI()*K$1*$A18)/6)</f>
        <v>-0.0292829999999998</v>
      </c>
      <c r="L18" s="1" t="n">
        <f aca="false">L$2*SIN((PI()*L$1*$A18)/6)</f>
        <v>-0.0149874356378935</v>
      </c>
      <c r="M18" s="1" t="n">
        <f aca="false">M$2*COS((PI()*M$1*$A18)/6)</f>
        <v>0.001325</v>
      </c>
      <c r="N18" s="1" t="n">
        <f aca="false">N$2*SIN((PI()*N$1*$A18)/6)</f>
        <v>-0.0100320382774389</v>
      </c>
      <c r="O18" s="2" t="n">
        <f aca="false">O$2*(-1)^(A18)</f>
        <v>0.114941</v>
      </c>
      <c r="P18" s="2" t="n">
        <f aca="false">100*LN(C18)</f>
        <v>429.533793289173</v>
      </c>
      <c r="Q18" s="2" t="n">
        <f aca="false">SUM(E18:O18)</f>
        <v>0.439910098437279</v>
      </c>
      <c r="R18" s="2" t="n">
        <f aca="false">P18-Q18</f>
        <v>429.093883190736</v>
      </c>
      <c r="S18" s="1" t="n">
        <f aca="false">EXP(R18/100)</f>
        <v>73.0350039150112</v>
      </c>
    </row>
    <row r="19" customFormat="false" ht="12.8" hidden="false" customHeight="false" outlineLevel="0" collapsed="false">
      <c r="A19" s="2" t="n">
        <v>17</v>
      </c>
      <c r="B19" s="2" t="s">
        <v>23</v>
      </c>
      <c r="C19" s="2" t="n">
        <v>73.289</v>
      </c>
      <c r="D19" s="2" t="n">
        <f aca="false">100*LN(C19)</f>
        <v>429.441052941842</v>
      </c>
      <c r="E19" s="2" t="n">
        <f aca="false">E$2*COS((PI()*E$1*$A19)/6)</f>
        <v>0.139421429755257</v>
      </c>
      <c r="F19" s="2" t="n">
        <f aca="false">F$2*SIN((PI()*F$1*$A19)/6)</f>
        <v>-0.083138</v>
      </c>
      <c r="G19" s="1" t="n">
        <f aca="false">G$2*COS((PI()*G$1*$A19)/6)</f>
        <v>0.1446345</v>
      </c>
      <c r="H19" s="1" t="n">
        <f aca="false">H$2*SIN((PI()*H$1*$A19)/6)</f>
        <v>0.499983312392274</v>
      </c>
      <c r="I19" s="1" t="n">
        <f aca="false">I$2*COS((PI()*I$1*$A19)/6)</f>
        <v>2.42575734481198E-016</v>
      </c>
      <c r="J19" s="1" t="n">
        <f aca="false">J$2*SIN((PI()*J$1*$A19)/6)</f>
        <v>-0.033221</v>
      </c>
      <c r="K19" s="1" t="n">
        <f aca="false">K$2*COS((PI()*K$1*$A19)/6)</f>
        <v>-0.029283</v>
      </c>
      <c r="L19" s="1" t="n">
        <f aca="false">L$2*SIN((PI()*L$1*$A19)/6)</f>
        <v>0.0149874356378935</v>
      </c>
      <c r="M19" s="1" t="n">
        <f aca="false">M$2*COS((PI()*M$1*$A19)/6)</f>
        <v>-0.00229496732002876</v>
      </c>
      <c r="N19" s="1" t="n">
        <f aca="false">N$2*SIN((PI()*N$1*$A19)/6)</f>
        <v>0.00579200000000001</v>
      </c>
      <c r="O19" s="2" t="n">
        <f aca="false">O$2*(-1)^(A19)</f>
        <v>-0.114941</v>
      </c>
      <c r="P19" s="2" t="n">
        <f aca="false">100*LN(C19)</f>
        <v>429.441052941842</v>
      </c>
      <c r="Q19" s="2" t="n">
        <f aca="false">SUM(E19:O19)</f>
        <v>0.541940710465396</v>
      </c>
      <c r="R19" s="2" t="n">
        <f aca="false">P19-Q19</f>
        <v>428.899112231377</v>
      </c>
      <c r="S19" s="1" t="n">
        <f aca="false">EXP(R19/100)</f>
        <v>72.8928913791187</v>
      </c>
    </row>
    <row r="20" customFormat="false" ht="12.8" hidden="false" customHeight="false" outlineLevel="0" collapsed="false">
      <c r="A20" s="2" t="n">
        <v>18</v>
      </c>
      <c r="B20" s="2" t="s">
        <v>24</v>
      </c>
      <c r="C20" s="2" t="n">
        <v>73.338</v>
      </c>
      <c r="D20" s="2" t="n">
        <f aca="false">100*LN(C20)</f>
        <v>429.507889202318</v>
      </c>
      <c r="E20" s="2" t="n">
        <f aca="false">E$2*COS((PI()*E$1*$A20)/6)</f>
        <v>0.16099</v>
      </c>
      <c r="F20" s="2" t="n">
        <f aca="false">F$2*SIN((PI()*F$1*$A20)/6)</f>
        <v>-6.10888113525076E-017</v>
      </c>
      <c r="G20" s="1" t="n">
        <f aca="false">G$2*COS((PI()*G$1*$A20)/6)</f>
        <v>0.289269</v>
      </c>
      <c r="H20" s="1" t="n">
        <f aca="false">H$2*SIN((PI()*H$1*$A20)/6)</f>
        <v>4.24215936719124E-016</v>
      </c>
      <c r="I20" s="1" t="n">
        <f aca="false">I$2*COS((PI()*I$1*$A20)/6)</f>
        <v>-0.086102</v>
      </c>
      <c r="J20" s="1" t="n">
        <f aca="false">J$2*SIN((PI()*J$1*$A20)/6)</f>
        <v>-3.66155921830268E-017</v>
      </c>
      <c r="K20" s="1" t="n">
        <f aca="false">K$2*COS((PI()*K$1*$A20)/6)</f>
        <v>0.058566</v>
      </c>
      <c r="L20" s="1" t="n">
        <f aca="false">L$2*SIN((PI()*L$1*$A20)/6)</f>
        <v>2.54324850072529E-017</v>
      </c>
      <c r="M20" s="1" t="n">
        <f aca="false">M$2*COS((PI()*M$1*$A20)/6)</f>
        <v>0.00265</v>
      </c>
      <c r="N20" s="1" t="n">
        <f aca="false">N$2*SIN((PI()*N$1*$A20)/6)</f>
        <v>-1.98751724732406E-017</v>
      </c>
      <c r="O20" s="2" t="n">
        <f aca="false">O$2*(-1)^(A20)</f>
        <v>0.114941</v>
      </c>
      <c r="P20" s="2" t="n">
        <f aca="false">100*LN(C20)</f>
        <v>429.507889202318</v>
      </c>
      <c r="Q20" s="2" t="n">
        <f aca="false">SUM(E20:O20)</f>
        <v>0.540314</v>
      </c>
      <c r="R20" s="2" t="n">
        <f aca="false">P20-Q20</f>
        <v>428.967575202318</v>
      </c>
      <c r="S20" s="1" t="n">
        <f aca="false">EXP(R20/100)</f>
        <v>72.9428131051603</v>
      </c>
    </row>
    <row r="21" customFormat="false" ht="12.8" hidden="false" customHeight="false" outlineLevel="0" collapsed="false">
      <c r="A21" s="2" t="n">
        <v>19</v>
      </c>
      <c r="B21" s="2" t="s">
        <v>25</v>
      </c>
      <c r="C21" s="2" t="n">
        <v>72.878</v>
      </c>
      <c r="D21" s="2" t="n">
        <f aca="false">100*LN(C21)</f>
        <v>428.878681020413</v>
      </c>
      <c r="E21" s="2" t="n">
        <f aca="false">E$2*COS((PI()*E$1*$A21)/6)</f>
        <v>0.139421429755257</v>
      </c>
      <c r="F21" s="2" t="n">
        <f aca="false">F$2*SIN((PI()*F$1*$A21)/6)</f>
        <v>0.0831379999999999</v>
      </c>
      <c r="G21" s="1" t="n">
        <f aca="false">G$2*COS((PI()*G$1*$A21)/6)</f>
        <v>0.1446345</v>
      </c>
      <c r="H21" s="1" t="n">
        <f aca="false">H$2*SIN((PI()*H$1*$A21)/6)</f>
        <v>-0.499983312392273</v>
      </c>
      <c r="I21" s="1" t="n">
        <f aca="false">I$2*COS((PI()*I$1*$A21)/6)</f>
        <v>-2.53120188351217E-016</v>
      </c>
      <c r="J21" s="1" t="n">
        <f aca="false">J$2*SIN((PI()*J$1*$A21)/6)</f>
        <v>0.033221</v>
      </c>
      <c r="K21" s="1" t="n">
        <f aca="false">K$2*COS((PI()*K$1*$A21)/6)</f>
        <v>-0.0292829999999998</v>
      </c>
      <c r="L21" s="1" t="n">
        <f aca="false">L$2*SIN((PI()*L$1*$A21)/6)</f>
        <v>-0.0149874356378935</v>
      </c>
      <c r="M21" s="1" t="n">
        <f aca="false">M$2*COS((PI()*M$1*$A21)/6)</f>
        <v>-0.00229496732002877</v>
      </c>
      <c r="N21" s="1" t="n">
        <f aca="false">N$2*SIN((PI()*N$1*$A21)/6)</f>
        <v>-0.00579199999999998</v>
      </c>
      <c r="O21" s="2" t="n">
        <f aca="false">O$2*(-1)^(A21)</f>
        <v>-0.114941</v>
      </c>
      <c r="P21" s="2" t="n">
        <f aca="false">100*LN(C21)</f>
        <v>428.878681020413</v>
      </c>
      <c r="Q21" s="2" t="n">
        <f aca="false">SUM(E21:O21)</f>
        <v>-0.266866785594938</v>
      </c>
      <c r="R21" s="2" t="n">
        <f aca="false">P21-Q21</f>
        <v>429.145547806008</v>
      </c>
      <c r="S21" s="1" t="n">
        <f aca="false">EXP(R21/100)</f>
        <v>73.0727469178469</v>
      </c>
    </row>
    <row r="22" customFormat="false" ht="12.8" hidden="false" customHeight="false" outlineLevel="0" collapsed="false">
      <c r="A22" s="2" t="n">
        <v>20</v>
      </c>
      <c r="B22" s="2" t="s">
        <v>26</v>
      </c>
      <c r="C22" s="2" t="n">
        <v>73.213</v>
      </c>
      <c r="D22" s="2" t="n">
        <f aca="false">100*LN(C22)</f>
        <v>429.337300082745</v>
      </c>
      <c r="E22" s="2" t="n">
        <f aca="false">E$2*COS((PI()*E$1*$A22)/6)</f>
        <v>0.080495</v>
      </c>
      <c r="F22" s="2" t="n">
        <f aca="false">F$2*SIN((PI()*F$1*$A22)/6)</f>
        <v>0.143999240039661</v>
      </c>
      <c r="G22" s="1" t="n">
        <f aca="false">G$2*COS((PI()*G$1*$A22)/6)</f>
        <v>-0.1446345</v>
      </c>
      <c r="H22" s="1" t="n">
        <f aca="false">H$2*SIN((PI()*H$1*$A22)/6)</f>
        <v>-0.499983312392274</v>
      </c>
      <c r="I22" s="1" t="n">
        <f aca="false">I$2*COS((PI()*I$1*$A22)/6)</f>
        <v>0.086102</v>
      </c>
      <c r="J22" s="1" t="n">
        <f aca="false">J$2*SIN((PI()*J$1*$A22)/6)</f>
        <v>1.58708692437906E-016</v>
      </c>
      <c r="K22" s="1" t="n">
        <f aca="false">K$2*COS((PI()*K$1*$A22)/6)</f>
        <v>-0.029283</v>
      </c>
      <c r="L22" s="1" t="n">
        <f aca="false">L$2*SIN((PI()*L$1*$A22)/6)</f>
        <v>0.0149874356378935</v>
      </c>
      <c r="M22" s="1" t="n">
        <f aca="false">M$2*COS((PI()*M$1*$A22)/6)</f>
        <v>0.00132500000000001</v>
      </c>
      <c r="N22" s="1" t="n">
        <f aca="false">N$2*SIN((PI()*N$1*$A22)/6)</f>
        <v>0.0100320382774389</v>
      </c>
      <c r="O22" s="2" t="n">
        <f aca="false">O$2*(-1)^(A22)</f>
        <v>0.114941</v>
      </c>
      <c r="P22" s="2" t="n">
        <f aca="false">100*LN(C22)</f>
        <v>429.337300082745</v>
      </c>
      <c r="Q22" s="2" t="n">
        <f aca="false">SUM(E22:O22)</f>
        <v>-0.22201909843728</v>
      </c>
      <c r="R22" s="2" t="n">
        <f aca="false">P22-Q22</f>
        <v>429.559319181182</v>
      </c>
      <c r="S22" s="1" t="n">
        <f aca="false">EXP(R22/100)</f>
        <v>73.3757274186692</v>
      </c>
    </row>
    <row r="23" customFormat="false" ht="12.8" hidden="false" customHeight="false" outlineLevel="0" collapsed="false">
      <c r="A23" s="2" t="n">
        <v>21</v>
      </c>
      <c r="B23" s="2" t="s">
        <v>27</v>
      </c>
      <c r="C23" s="2" t="n">
        <v>73.431</v>
      </c>
      <c r="D23" s="2" t="n">
        <f aca="false">100*LN(C23)</f>
        <v>429.634618978288</v>
      </c>
      <c r="E23" s="2" t="n">
        <f aca="false">E$2*COS((PI()*E$1*$A23)/6)</f>
        <v>6.90045608681563E-017</v>
      </c>
      <c r="F23" s="2" t="n">
        <f aca="false">F$2*SIN((PI()*F$1*$A23)/6)</f>
        <v>0.166276</v>
      </c>
      <c r="G23" s="1" t="n">
        <f aca="false">G$2*COS((PI()*G$1*$A23)/6)</f>
        <v>-0.289269</v>
      </c>
      <c r="H23" s="1" t="n">
        <f aca="false">H$2*SIN((PI()*H$1*$A23)/6)</f>
        <v>-4.94918592838978E-016</v>
      </c>
      <c r="I23" s="1" t="n">
        <f aca="false">I$2*COS((PI()*I$1*$A23)/6)</f>
        <v>-4.22311109508457E-017</v>
      </c>
      <c r="J23" s="1" t="n">
        <f aca="false">J$2*SIN((PI()*J$1*$A23)/6)</f>
        <v>-0.033221</v>
      </c>
      <c r="K23" s="1" t="n">
        <f aca="false">K$2*COS((PI()*K$1*$A23)/6)</f>
        <v>0.058566</v>
      </c>
      <c r="L23" s="1" t="n">
        <f aca="false">L$2*SIN((PI()*L$1*$A23)/6)</f>
        <v>2.96712325084617E-017</v>
      </c>
      <c r="M23" s="1" t="n">
        <f aca="false">M$2*COS((PI()*M$1*$A23)/6)</f>
        <v>-8.44273734218614E-018</v>
      </c>
      <c r="N23" s="1" t="n">
        <f aca="false">N$2*SIN((PI()*N$1*$A23)/6)</f>
        <v>-0.011584</v>
      </c>
      <c r="O23" s="2" t="n">
        <f aca="false">O$2*(-1)^(A23)</f>
        <v>-0.114941</v>
      </c>
      <c r="P23" s="2" t="n">
        <f aca="false">100*LN(C23)</f>
        <v>429.634618978288</v>
      </c>
      <c r="Q23" s="2" t="n">
        <f aca="false">SUM(E23:O23)</f>
        <v>-0.224173</v>
      </c>
      <c r="R23" s="2" t="n">
        <f aca="false">P23-Q23</f>
        <v>429.858791978288</v>
      </c>
      <c r="S23" s="1" t="n">
        <f aca="false">EXP(R23/100)</f>
        <v>73.5957971219424</v>
      </c>
    </row>
    <row r="24" customFormat="false" ht="12.8" hidden="false" customHeight="false" outlineLevel="0" collapsed="false">
      <c r="A24" s="2" t="n">
        <v>22</v>
      </c>
      <c r="B24" s="2" t="s">
        <v>28</v>
      </c>
      <c r="C24" s="2" t="n">
        <v>73.926</v>
      </c>
      <c r="D24" s="2" t="n">
        <f aca="false">100*LN(C24)</f>
        <v>430.306459287059</v>
      </c>
      <c r="E24" s="2" t="n">
        <f aca="false">E$2*COS((PI()*E$1*$A24)/6)</f>
        <v>-0.0804949999999999</v>
      </c>
      <c r="F24" s="2" t="n">
        <f aca="false">F$2*SIN((PI()*F$1*$A24)/6)</f>
        <v>0.143999240039661</v>
      </c>
      <c r="G24" s="1" t="n">
        <f aca="false">G$2*COS((PI()*G$1*$A24)/6)</f>
        <v>-0.144634500000001</v>
      </c>
      <c r="H24" s="1" t="n">
        <f aca="false">H$2*SIN((PI()*H$1*$A24)/6)</f>
        <v>0.499983312392273</v>
      </c>
      <c r="I24" s="1" t="n">
        <f aca="false">I$2*COS((PI()*I$1*$A24)/6)</f>
        <v>-0.086102</v>
      </c>
      <c r="J24" s="1" t="n">
        <f aca="false">J$2*SIN((PI()*J$1*$A24)/6)</f>
        <v>7.32723106775098E-017</v>
      </c>
      <c r="K24" s="1" t="n">
        <f aca="false">K$2*COS((PI()*K$1*$A24)/6)</f>
        <v>-0.0292829999999998</v>
      </c>
      <c r="L24" s="1" t="n">
        <f aca="false">L$2*SIN((PI()*L$1*$A24)/6)</f>
        <v>-0.0149874356378935</v>
      </c>
      <c r="M24" s="1" t="n">
        <f aca="false">M$2*COS((PI()*M$1*$A24)/6)</f>
        <v>-0.00132499999999999</v>
      </c>
      <c r="N24" s="1" t="n">
        <f aca="false">N$2*SIN((PI()*N$1*$A24)/6)</f>
        <v>0.010032038277439</v>
      </c>
      <c r="O24" s="2" t="n">
        <f aca="false">O$2*(-1)^(A24)</f>
        <v>0.114941</v>
      </c>
      <c r="P24" s="2" t="n">
        <f aca="false">100*LN(C24)</f>
        <v>430.306459287059</v>
      </c>
      <c r="Q24" s="2" t="n">
        <f aca="false">SUM(E24:O24)</f>
        <v>0.41212865507148</v>
      </c>
      <c r="R24" s="2" t="n">
        <f aca="false">P24-Q24</f>
        <v>429.894330631987</v>
      </c>
      <c r="S24" s="1" t="n">
        <f aca="false">EXP(R24/100)</f>
        <v>73.6219567255287</v>
      </c>
    </row>
    <row r="25" customFormat="false" ht="12.8" hidden="false" customHeight="false" outlineLevel="0" collapsed="false">
      <c r="A25" s="2" t="n">
        <v>23</v>
      </c>
      <c r="B25" s="2" t="s">
        <v>29</v>
      </c>
      <c r="C25" s="2" t="n">
        <v>74.167</v>
      </c>
      <c r="D25" s="2" t="n">
        <f aca="false">100*LN(C25)</f>
        <v>430.631930731011</v>
      </c>
      <c r="E25" s="2" t="n">
        <f aca="false">E$2*COS((PI()*E$1*$A25)/6)</f>
        <v>-0.139421429755257</v>
      </c>
      <c r="F25" s="2" t="n">
        <f aca="false">F$2*SIN((PI()*F$1*$A25)/6)</f>
        <v>0.0831380000000002</v>
      </c>
      <c r="G25" s="1" t="n">
        <f aca="false">G$2*COS((PI()*G$1*$A25)/6)</f>
        <v>0.144634499999999</v>
      </c>
      <c r="H25" s="1" t="n">
        <f aca="false">H$2*SIN((PI()*H$1*$A25)/6)</f>
        <v>0.499983312392275</v>
      </c>
      <c r="I25" s="1" t="n">
        <f aca="false">I$2*COS((PI()*I$1*$A25)/6)</f>
        <v>-2.74209096091254E-016</v>
      </c>
      <c r="J25" s="1" t="n">
        <f aca="false">J$2*SIN((PI()*J$1*$A25)/6)</f>
        <v>0.033221</v>
      </c>
      <c r="K25" s="1" t="n">
        <f aca="false">K$2*COS((PI()*K$1*$A25)/6)</f>
        <v>-0.0292830000000003</v>
      </c>
      <c r="L25" s="1" t="n">
        <f aca="false">L$2*SIN((PI()*L$1*$A25)/6)</f>
        <v>0.0149874356378934</v>
      </c>
      <c r="M25" s="1" t="n">
        <f aca="false">M$2*COS((PI()*M$1*$A25)/6)</f>
        <v>0.00229496732002876</v>
      </c>
      <c r="N25" s="1" t="n">
        <f aca="false">N$2*SIN((PI()*N$1*$A25)/6)</f>
        <v>-0.00579200000000004</v>
      </c>
      <c r="O25" s="2" t="n">
        <f aca="false">O$2*(-1)^(A25)</f>
        <v>-0.114941</v>
      </c>
      <c r="P25" s="2" t="n">
        <f aca="false">100*LN(C25)</f>
        <v>430.631930731011</v>
      </c>
      <c r="Q25" s="2" t="n">
        <f aca="false">SUM(E25:O25)</f>
        <v>0.488821785594939</v>
      </c>
      <c r="R25" s="2" t="n">
        <f aca="false">P25-Q25</f>
        <v>430.143108945416</v>
      </c>
      <c r="S25" s="1" t="n">
        <f aca="false">EXP(R25/100)</f>
        <v>73.8053402023631</v>
      </c>
    </row>
    <row r="26" customFormat="false" ht="12.8" hidden="false" customHeight="false" outlineLevel="0" collapsed="false">
      <c r="A26" s="2" t="n">
        <v>24</v>
      </c>
      <c r="B26" s="2" t="s">
        <v>30</v>
      </c>
      <c r="C26" s="2" t="n">
        <v>74.294</v>
      </c>
      <c r="D26" s="2" t="n">
        <f aca="false">100*LN(C26)</f>
        <v>430.803019476175</v>
      </c>
      <c r="E26" s="2" t="n">
        <f aca="false">E$2*COS((PI()*E$1*$A26)/6)</f>
        <v>-0.16099</v>
      </c>
      <c r="F26" s="2" t="n">
        <f aca="false">F$2*SIN((PI()*F$1*$A26)/6)</f>
        <v>8.14517484700101E-017</v>
      </c>
      <c r="G26" s="1" t="n">
        <f aca="false">G$2*COS((PI()*G$1*$A26)/6)</f>
        <v>0.289269</v>
      </c>
      <c r="H26" s="1" t="n">
        <f aca="false">H$2*SIN((PI()*H$1*$A26)/6)</f>
        <v>5.65621248958833E-016</v>
      </c>
      <c r="I26" s="1" t="n">
        <f aca="false">I$2*COS((PI()*I$1*$A26)/6)</f>
        <v>0.086102</v>
      </c>
      <c r="J26" s="1" t="n">
        <f aca="false">J$2*SIN((PI()*J$1*$A26)/6)</f>
        <v>4.88207895773691E-017</v>
      </c>
      <c r="K26" s="1" t="n">
        <f aca="false">K$2*COS((PI()*K$1*$A26)/6)</f>
        <v>0.058566</v>
      </c>
      <c r="L26" s="1" t="n">
        <f aca="false">L$2*SIN((PI()*L$1*$A26)/6)</f>
        <v>3.39099800096706E-017</v>
      </c>
      <c r="M26" s="1" t="n">
        <f aca="false">M$2*COS((PI()*M$1*$A26)/6)</f>
        <v>-0.00265</v>
      </c>
      <c r="N26" s="1" t="n">
        <f aca="false">N$2*SIN((PI()*N$1*$A26)/6)</f>
        <v>-1.10681887553096E-016</v>
      </c>
      <c r="O26" s="2" t="n">
        <f aca="false">O$2*(-1)^(A26)</f>
        <v>0.114941</v>
      </c>
      <c r="P26" s="2" t="n">
        <f aca="false">100*LN(C26)</f>
        <v>430.803019476175</v>
      </c>
      <c r="Q26" s="2" t="n">
        <f aca="false">SUM(E26:O26)</f>
        <v>0.385238000000001</v>
      </c>
      <c r="R26" s="2" t="n">
        <f aca="false">P26-Q26</f>
        <v>430.417781476175</v>
      </c>
      <c r="S26" s="1" t="n">
        <f aca="false">EXP(R26/100)</f>
        <v>74.0083418654059</v>
      </c>
    </row>
    <row r="27" customFormat="false" ht="12.8" hidden="false" customHeight="false" outlineLevel="0" collapsed="false">
      <c r="A27" s="2" t="n">
        <v>25</v>
      </c>
      <c r="B27" s="2" t="s">
        <v>31</v>
      </c>
      <c r="C27" s="2" t="n">
        <v>73.773</v>
      </c>
      <c r="D27" s="2" t="n">
        <f aca="false">100*LN(C27)</f>
        <v>430.099281100711</v>
      </c>
      <c r="E27" s="2" t="n">
        <f aca="false">E$2*COS((PI()*E$1*$A27)/6)</f>
        <v>-0.139421429755257</v>
      </c>
      <c r="F27" s="2" t="n">
        <f aca="false">F$2*SIN((PI()*F$1*$A27)/6)</f>
        <v>-0.0831380000000001</v>
      </c>
      <c r="G27" s="1" t="n">
        <f aca="false">G$2*COS((PI()*G$1*$A27)/6)</f>
        <v>0.1446345</v>
      </c>
      <c r="H27" s="1" t="n">
        <f aca="false">H$2*SIN((PI()*H$1*$A27)/6)</f>
        <v>-0.499983312392274</v>
      </c>
      <c r="I27" s="1" t="n">
        <f aca="false">I$2*COS((PI()*I$1*$A27)/6)</f>
        <v>-2.11422032108086E-017</v>
      </c>
      <c r="J27" s="1" t="n">
        <f aca="false">J$2*SIN((PI()*J$1*$A27)/6)</f>
        <v>-0.033221</v>
      </c>
      <c r="K27" s="1" t="n">
        <f aca="false">K$2*COS((PI()*K$1*$A27)/6)</f>
        <v>-0.0292830000000001</v>
      </c>
      <c r="L27" s="1" t="n">
        <f aca="false">L$2*SIN((PI()*L$1*$A27)/6)</f>
        <v>-0.0149874356378935</v>
      </c>
      <c r="M27" s="1" t="n">
        <f aca="false">M$2*COS((PI()*M$1*$A27)/6)</f>
        <v>0.00229496732002876</v>
      </c>
      <c r="N27" s="1" t="n">
        <f aca="false">N$2*SIN((PI()*N$1*$A27)/6)</f>
        <v>0.00579200000000002</v>
      </c>
      <c r="O27" s="2" t="n">
        <f aca="false">O$2*(-1)^(A27)</f>
        <v>-0.114941</v>
      </c>
      <c r="P27" s="2" t="n">
        <f aca="false">100*LN(C27)</f>
        <v>430.099281100711</v>
      </c>
      <c r="Q27" s="2" t="n">
        <f aca="false">SUM(E27:O27)</f>
        <v>-0.762253710465396</v>
      </c>
      <c r="R27" s="2" t="n">
        <f aca="false">P27-Q27</f>
        <v>430.861534811177</v>
      </c>
      <c r="S27" s="1" t="n">
        <f aca="false">EXP(R27/100)</f>
        <v>74.3374861047656</v>
      </c>
    </row>
    <row r="28" customFormat="false" ht="12.8" hidden="false" customHeight="false" outlineLevel="0" collapsed="false">
      <c r="A28" s="2" t="n">
        <v>26</v>
      </c>
      <c r="B28" s="2" t="s">
        <v>32</v>
      </c>
      <c r="C28" s="2" t="n">
        <v>73.807</v>
      </c>
      <c r="D28" s="2" t="n">
        <f aca="false">100*LN(C28)</f>
        <v>430.145357805687</v>
      </c>
      <c r="E28" s="2" t="n">
        <f aca="false">E$2*COS((PI()*E$1*$A28)/6)</f>
        <v>-0.080495</v>
      </c>
      <c r="F28" s="2" t="n">
        <f aca="false">F$2*SIN((PI()*F$1*$A28)/6)</f>
        <v>-0.143999240039661</v>
      </c>
      <c r="G28" s="1" t="n">
        <f aca="false">G$2*COS((PI()*G$1*$A28)/6)</f>
        <v>-0.1446345</v>
      </c>
      <c r="H28" s="1" t="n">
        <f aca="false">H$2*SIN((PI()*H$1*$A28)/6)</f>
        <v>-0.499983312392274</v>
      </c>
      <c r="I28" s="1" t="n">
        <f aca="false">I$2*COS((PI()*I$1*$A28)/6)</f>
        <v>-0.086102</v>
      </c>
      <c r="J28" s="1" t="n">
        <f aca="false">J$2*SIN((PI()*J$1*$A28)/6)</f>
        <v>-1.70913889832248E-016</v>
      </c>
      <c r="K28" s="1" t="n">
        <f aca="false">K$2*COS((PI()*K$1*$A28)/6)</f>
        <v>-0.029283</v>
      </c>
      <c r="L28" s="1" t="n">
        <f aca="false">L$2*SIN((PI()*L$1*$A28)/6)</f>
        <v>0.0149874356378935</v>
      </c>
      <c r="M28" s="1" t="n">
        <f aca="false">M$2*COS((PI()*M$1*$A28)/6)</f>
        <v>-0.001325</v>
      </c>
      <c r="N28" s="1" t="n">
        <f aca="false">N$2*SIN((PI()*N$1*$A28)/6)</f>
        <v>-0.0100320382774389</v>
      </c>
      <c r="O28" s="2" t="n">
        <f aca="false">O$2*(-1)^(A28)</f>
        <v>0.114941</v>
      </c>
      <c r="P28" s="2" t="n">
        <f aca="false">100*LN(C28)</f>
        <v>430.145357805687</v>
      </c>
      <c r="Q28" s="2" t="n">
        <f aca="false">SUM(E28:O28)</f>
        <v>-0.865925655071481</v>
      </c>
      <c r="R28" s="2" t="n">
        <f aca="false">P28-Q28</f>
        <v>431.011283460758</v>
      </c>
      <c r="S28" s="1" t="n">
        <f aca="false">EXP(R28/100)</f>
        <v>74.4488888775963</v>
      </c>
    </row>
    <row r="29" customFormat="false" ht="12.8" hidden="false" customHeight="false" outlineLevel="0" collapsed="false">
      <c r="A29" s="2" t="n">
        <v>27</v>
      </c>
      <c r="B29" s="2" t="s">
        <v>33</v>
      </c>
      <c r="C29" s="2" t="n">
        <v>74.322</v>
      </c>
      <c r="D29" s="2" t="n">
        <f aca="false">100*LN(C29)</f>
        <v>430.840700480012</v>
      </c>
      <c r="E29" s="2" t="n">
        <f aca="false">E$2*COS((PI()*E$1*$A29)/6)</f>
        <v>-8.87201496876296E-017</v>
      </c>
      <c r="F29" s="2" t="n">
        <f aca="false">F$2*SIN((PI()*F$1*$A29)/6)</f>
        <v>-0.166276</v>
      </c>
      <c r="G29" s="1" t="n">
        <f aca="false">G$2*COS((PI()*G$1*$A29)/6)</f>
        <v>-0.289269</v>
      </c>
      <c r="H29" s="1" t="n">
        <f aca="false">H$2*SIN((PI()*H$1*$A29)/6)</f>
        <v>-6.36323905078687E-016</v>
      </c>
      <c r="I29" s="1" t="n">
        <f aca="false">I$2*COS((PI()*I$1*$A29)/6)</f>
        <v>-2.95298003831291E-016</v>
      </c>
      <c r="J29" s="1" t="n">
        <f aca="false">J$2*SIN((PI()*J$1*$A29)/6)</f>
        <v>0.033221</v>
      </c>
      <c r="K29" s="1" t="n">
        <f aca="false">K$2*COS((PI()*K$1*$A29)/6)</f>
        <v>0.058566</v>
      </c>
      <c r="L29" s="1" t="n">
        <f aca="false">L$2*SIN((PI()*L$1*$A29)/6)</f>
        <v>3.81487275108794E-017</v>
      </c>
      <c r="M29" s="1" t="n">
        <f aca="false">M$2*COS((PI()*M$1*$A29)/6)</f>
        <v>-2.59461091550543E-018</v>
      </c>
      <c r="N29" s="1" t="n">
        <f aca="false">N$2*SIN((PI()*N$1*$A29)/6)</f>
        <v>0.011584</v>
      </c>
      <c r="O29" s="2" t="n">
        <f aca="false">O$2*(-1)^(A29)</f>
        <v>-0.114941</v>
      </c>
      <c r="P29" s="2" t="n">
        <f aca="false">100*LN(C29)</f>
        <v>430.840700480012</v>
      </c>
      <c r="Q29" s="2" t="n">
        <f aca="false">SUM(E29:O29)</f>
        <v>-0.467115000000001</v>
      </c>
      <c r="R29" s="2" t="n">
        <f aca="false">P29-Q29</f>
        <v>431.307815480012</v>
      </c>
      <c r="S29" s="1" t="n">
        <f aca="false">EXP(R29/100)</f>
        <v>74.6699813140221</v>
      </c>
    </row>
    <row r="30" customFormat="false" ht="12.8" hidden="false" customHeight="false" outlineLevel="0" collapsed="false">
      <c r="A30" s="2" t="n">
        <v>28</v>
      </c>
      <c r="B30" s="2" t="s">
        <v>34</v>
      </c>
      <c r="C30" s="2" t="n">
        <v>75.34</v>
      </c>
      <c r="D30" s="2" t="n">
        <f aca="false">100*LN(C30)</f>
        <v>432.20112022639</v>
      </c>
      <c r="E30" s="2" t="n">
        <f aca="false">E$2*COS((PI()*E$1*$A30)/6)</f>
        <v>0.0804949999999998</v>
      </c>
      <c r="F30" s="2" t="n">
        <f aca="false">F$2*SIN((PI()*F$1*$A30)/6)</f>
        <v>-0.143999240039661</v>
      </c>
      <c r="G30" s="1" t="n">
        <f aca="false">G$2*COS((PI()*G$1*$A30)/6)</f>
        <v>-0.144634500000001</v>
      </c>
      <c r="H30" s="1" t="n">
        <f aca="false">H$2*SIN((PI()*H$1*$A30)/6)</f>
        <v>0.499983312392273</v>
      </c>
      <c r="I30" s="1" t="n">
        <f aca="false">I$2*COS((PI()*I$1*$A30)/6)</f>
        <v>0.086102</v>
      </c>
      <c r="J30" s="1" t="n">
        <f aca="false">J$2*SIN((PI()*J$1*$A30)/6)</f>
        <v>5.69575878402639E-017</v>
      </c>
      <c r="K30" s="1" t="n">
        <f aca="false">K$2*COS((PI()*K$1*$A30)/6)</f>
        <v>-0.0292829999999998</v>
      </c>
      <c r="L30" s="1" t="n">
        <f aca="false">L$2*SIN((PI()*L$1*$A30)/6)</f>
        <v>-0.0149874356378935</v>
      </c>
      <c r="M30" s="1" t="n">
        <f aca="false">M$2*COS((PI()*M$1*$A30)/6)</f>
        <v>0.001325</v>
      </c>
      <c r="N30" s="1" t="n">
        <f aca="false">N$2*SIN((PI()*N$1*$A30)/6)</f>
        <v>-0.0100320382774389</v>
      </c>
      <c r="O30" s="2" t="n">
        <f aca="false">O$2*(-1)^(A30)</f>
        <v>0.114941</v>
      </c>
      <c r="P30" s="2" t="n">
        <f aca="false">100*LN(C30)</f>
        <v>432.20112022639</v>
      </c>
      <c r="Q30" s="2" t="n">
        <f aca="false">SUM(E30:O30)</f>
        <v>0.439910098437279</v>
      </c>
      <c r="R30" s="2" t="n">
        <f aca="false">P30-Q30</f>
        <v>431.761210127952</v>
      </c>
      <c r="S30" s="1" t="n">
        <f aca="false">EXP(R30/100)</f>
        <v>75.0092996572508</v>
      </c>
    </row>
    <row r="31" customFormat="false" ht="12.8" hidden="false" customHeight="false" outlineLevel="0" collapsed="false">
      <c r="A31" s="2" t="n">
        <v>29</v>
      </c>
      <c r="B31" s="2" t="s">
        <v>35</v>
      </c>
      <c r="C31" s="2" t="n">
        <v>75.784</v>
      </c>
      <c r="D31" s="2" t="n">
        <f aca="false">100*LN(C31)</f>
        <v>432.788718857323</v>
      </c>
      <c r="E31" s="2" t="n">
        <f aca="false">E$2*COS((PI()*E$1*$A31)/6)</f>
        <v>0.139421429755257</v>
      </c>
      <c r="F31" s="2" t="n">
        <f aca="false">F$2*SIN((PI()*F$1*$A31)/6)</f>
        <v>-0.083138</v>
      </c>
      <c r="G31" s="1" t="n">
        <f aca="false">G$2*COS((PI()*G$1*$A31)/6)</f>
        <v>0.1446345</v>
      </c>
      <c r="H31" s="1" t="n">
        <f aca="false">H$2*SIN((PI()*H$1*$A31)/6)</f>
        <v>0.499983312392274</v>
      </c>
      <c r="I31" s="1" t="n">
        <f aca="false">I$2*COS((PI()*I$1*$A31)/6)</f>
        <v>6.1173821087339E-016</v>
      </c>
      <c r="J31" s="1" t="n">
        <f aca="false">J$2*SIN((PI()*J$1*$A31)/6)</f>
        <v>-0.033221</v>
      </c>
      <c r="K31" s="1" t="n">
        <f aca="false">K$2*COS((PI()*K$1*$A31)/6)</f>
        <v>-0.029283</v>
      </c>
      <c r="L31" s="1" t="n">
        <f aca="false">L$2*SIN((PI()*L$1*$A31)/6)</f>
        <v>0.0149874356378935</v>
      </c>
      <c r="M31" s="1" t="n">
        <f aca="false">M$2*COS((PI()*M$1*$A31)/6)</f>
        <v>-0.00229496732002876</v>
      </c>
      <c r="N31" s="1" t="n">
        <f aca="false">N$2*SIN((PI()*N$1*$A31)/6)</f>
        <v>0.005792</v>
      </c>
      <c r="O31" s="2" t="n">
        <f aca="false">O$2*(-1)^(A31)</f>
        <v>-0.114941</v>
      </c>
      <c r="P31" s="2" t="n">
        <f aca="false">100*LN(C31)</f>
        <v>432.788718857323</v>
      </c>
      <c r="Q31" s="2" t="n">
        <f aca="false">SUM(E31:O31)</f>
        <v>0.541940710465396</v>
      </c>
      <c r="R31" s="2" t="n">
        <f aca="false">P31-Q31</f>
        <v>432.246778146858</v>
      </c>
      <c r="S31" s="1" t="n">
        <f aca="false">EXP(R31/100)</f>
        <v>75.3744065313366</v>
      </c>
    </row>
    <row r="32" customFormat="false" ht="12.8" hidden="false" customHeight="false" outlineLevel="0" collapsed="false">
      <c r="A32" s="2" t="n">
        <v>30</v>
      </c>
      <c r="B32" s="2" t="s">
        <v>36</v>
      </c>
      <c r="C32" s="2" t="n">
        <v>75.904</v>
      </c>
      <c r="D32" s="2" t="n">
        <f aca="false">100*LN(C32)</f>
        <v>432.946938393521</v>
      </c>
      <c r="E32" s="2" t="n">
        <f aca="false">E$2*COS((PI()*E$1*$A32)/6)</f>
        <v>0.16099</v>
      </c>
      <c r="F32" s="2" t="n">
        <f aca="false">F$2*SIN((PI()*F$1*$A32)/6)</f>
        <v>-3.97180195415629E-016</v>
      </c>
      <c r="G32" s="1" t="n">
        <f aca="false">G$2*COS((PI()*G$1*$A32)/6)</f>
        <v>0.289269</v>
      </c>
      <c r="H32" s="1" t="n">
        <f aca="false">H$2*SIN((PI()*H$1*$A32)/6)</f>
        <v>2.75811830209411E-015</v>
      </c>
      <c r="I32" s="1" t="n">
        <f aca="false">I$2*COS((PI()*I$1*$A32)/6)</f>
        <v>-0.086102</v>
      </c>
      <c r="J32" s="1" t="n">
        <f aca="false">J$2*SIN((PI()*J$1*$A32)/6)</f>
        <v>5.69987141517201E-017</v>
      </c>
      <c r="K32" s="1" t="n">
        <f aca="false">K$2*COS((PI()*K$1*$A32)/6)</f>
        <v>0.058566</v>
      </c>
      <c r="L32" s="1" t="n">
        <f aca="false">L$2*SIN((PI()*L$1*$A32)/6)</f>
        <v>1.65354000862731E-016</v>
      </c>
      <c r="M32" s="1" t="n">
        <f aca="false">M$2*COS((PI()*M$1*$A32)/6)</f>
        <v>0.00265</v>
      </c>
      <c r="N32" s="1" t="n">
        <f aca="false">N$2*SIN((PI()*N$1*$A32)/6)</f>
        <v>-5.68886395191766E-018</v>
      </c>
      <c r="O32" s="2" t="n">
        <f aca="false">O$2*(-1)^(A32)</f>
        <v>0.114941</v>
      </c>
      <c r="P32" s="2" t="n">
        <f aca="false">100*LN(C32)</f>
        <v>432.946938393521</v>
      </c>
      <c r="Q32" s="2" t="n">
        <f aca="false">SUM(E32:O32)</f>
        <v>0.540314000000003</v>
      </c>
      <c r="R32" s="2" t="n">
        <f aca="false">P32-Q32</f>
        <v>432.406624393521</v>
      </c>
      <c r="S32" s="1" t="n">
        <f aca="false">EXP(R32/100)</f>
        <v>75.4949860363534</v>
      </c>
    </row>
    <row r="33" customFormat="false" ht="12.8" hidden="false" customHeight="false" outlineLevel="0" collapsed="false">
      <c r="A33" s="2" t="n">
        <v>31</v>
      </c>
      <c r="B33" s="2" t="s">
        <v>37</v>
      </c>
      <c r="C33" s="2" t="n">
        <v>75.328</v>
      </c>
      <c r="D33" s="2" t="n">
        <f aca="false">100*LN(C33)</f>
        <v>432.185191163781</v>
      </c>
      <c r="E33" s="2" t="n">
        <f aca="false">E$2*COS((PI()*E$1*$A33)/6)</f>
        <v>0.139421429755257</v>
      </c>
      <c r="F33" s="2" t="n">
        <f aca="false">F$2*SIN((PI()*F$1*$A33)/6)</f>
        <v>0.0831379999999998</v>
      </c>
      <c r="G33" s="1" t="n">
        <f aca="false">G$2*COS((PI()*G$1*$A33)/6)</f>
        <v>0.144634500000001</v>
      </c>
      <c r="H33" s="1" t="n">
        <f aca="false">H$2*SIN((PI()*H$1*$A33)/6)</f>
        <v>-0.499983312392273</v>
      </c>
      <c r="I33" s="1" t="n">
        <f aca="false">I$2*COS((PI()*I$1*$A33)/6)</f>
        <v>-3.16386911571328E-016</v>
      </c>
      <c r="J33" s="1" t="n">
        <f aca="false">J$2*SIN((PI()*J$1*$A33)/6)</f>
        <v>0.033221</v>
      </c>
      <c r="K33" s="1" t="n">
        <f aca="false">K$2*COS((PI()*K$1*$A33)/6)</f>
        <v>-0.0292829999999998</v>
      </c>
      <c r="L33" s="1" t="n">
        <f aca="false">L$2*SIN((PI()*L$1*$A33)/6)</f>
        <v>-0.0149874356378935</v>
      </c>
      <c r="M33" s="1" t="n">
        <f aca="false">M$2*COS((PI()*M$1*$A33)/6)</f>
        <v>-0.00229496732002876</v>
      </c>
      <c r="N33" s="1" t="n">
        <f aca="false">N$2*SIN((PI()*N$1*$A33)/6)</f>
        <v>-0.00579199999999999</v>
      </c>
      <c r="O33" s="2" t="n">
        <f aca="false">O$2*(-1)^(A33)</f>
        <v>-0.114941</v>
      </c>
      <c r="P33" s="2" t="n">
        <f aca="false">100*LN(C33)</f>
        <v>432.185191163781</v>
      </c>
      <c r="Q33" s="2" t="n">
        <f aca="false">SUM(E33:O33)</f>
        <v>-0.266866785594938</v>
      </c>
      <c r="R33" s="2" t="n">
        <f aca="false">P33-Q33</f>
        <v>432.452057949376</v>
      </c>
      <c r="S33" s="1" t="n">
        <f aca="false">EXP(R33/100)</f>
        <v>75.5292938860502</v>
      </c>
    </row>
    <row r="34" customFormat="false" ht="12.8" hidden="false" customHeight="false" outlineLevel="0" collapsed="false">
      <c r="A34" s="2" t="n">
        <v>32</v>
      </c>
      <c r="B34" s="2" t="s">
        <v>38</v>
      </c>
      <c r="C34" s="2" t="n">
        <v>75.661</v>
      </c>
      <c r="D34" s="2" t="n">
        <f aca="false">100*LN(C34)</f>
        <v>432.626283614107</v>
      </c>
      <c r="E34" s="2" t="n">
        <f aca="false">E$2*COS((PI()*E$1*$A34)/6)</f>
        <v>0.0804950000000003</v>
      </c>
      <c r="F34" s="2" t="n">
        <f aca="false">F$2*SIN((PI()*F$1*$A34)/6)</f>
        <v>0.143999240039661</v>
      </c>
      <c r="G34" s="1" t="n">
        <f aca="false">G$2*COS((PI()*G$1*$A34)/6)</f>
        <v>-0.144634499999999</v>
      </c>
      <c r="H34" s="1" t="n">
        <f aca="false">H$2*SIN((PI()*H$1*$A34)/6)</f>
        <v>-0.499983312392275</v>
      </c>
      <c r="I34" s="1" t="n">
        <f aca="false">I$2*COS((PI()*I$1*$A34)/6)</f>
        <v>0.086102</v>
      </c>
      <c r="J34" s="1" t="n">
        <f aca="false">J$2*SIN((PI()*J$1*$A34)/6)</f>
        <v>6.50943861031588E-017</v>
      </c>
      <c r="K34" s="1" t="n">
        <f aca="false">K$2*COS((PI()*K$1*$A34)/6)</f>
        <v>-0.0292830000000004</v>
      </c>
      <c r="L34" s="1" t="n">
        <f aca="false">L$2*SIN((PI()*L$1*$A34)/6)</f>
        <v>0.0149874356378934</v>
      </c>
      <c r="M34" s="1" t="n">
        <f aca="false">M$2*COS((PI()*M$1*$A34)/6)</f>
        <v>0.001325</v>
      </c>
      <c r="N34" s="1" t="n">
        <f aca="false">N$2*SIN((PI()*N$1*$A34)/6)</f>
        <v>0.0100320382774389</v>
      </c>
      <c r="O34" s="2" t="n">
        <f aca="false">O$2*(-1)^(A34)</f>
        <v>0.114941</v>
      </c>
      <c r="P34" s="2" t="n">
        <f aca="false">100*LN(C34)</f>
        <v>432.626283614107</v>
      </c>
      <c r="Q34" s="2" t="n">
        <f aca="false">SUM(E34:O34)</f>
        <v>-0.22201909843728</v>
      </c>
      <c r="R34" s="2" t="n">
        <f aca="false">P34-Q34</f>
        <v>432.848302712544</v>
      </c>
      <c r="S34" s="1" t="n">
        <f aca="false">EXP(R34/100)</f>
        <v>75.8291684840661</v>
      </c>
    </row>
    <row r="35" customFormat="false" ht="12.8" hidden="false" customHeight="false" outlineLevel="0" collapsed="false">
      <c r="A35" s="2" t="n">
        <v>33</v>
      </c>
      <c r="B35" s="2" t="s">
        <v>39</v>
      </c>
      <c r="C35" s="2" t="n">
        <v>75.796</v>
      </c>
      <c r="D35" s="2" t="n">
        <f aca="false">100*LN(C35)</f>
        <v>432.804552080737</v>
      </c>
      <c r="E35" s="2" t="n">
        <f aca="false">E$2*COS((PI()*E$1*$A35)/6)</f>
        <v>-1.77539949067944E-016</v>
      </c>
      <c r="F35" s="2" t="n">
        <f aca="false">F$2*SIN((PI()*F$1*$A35)/6)</f>
        <v>0.166276</v>
      </c>
      <c r="G35" s="1" t="n">
        <f aca="false">G$2*COS((PI()*G$1*$A35)/6)</f>
        <v>-0.289269</v>
      </c>
      <c r="H35" s="1" t="n">
        <f aca="false">H$2*SIN((PI()*H$1*$A35)/6)</f>
        <v>1.27336252357718E-015</v>
      </c>
      <c r="I35" s="1" t="n">
        <f aca="false">I$2*COS((PI()*I$1*$A35)/6)</f>
        <v>2.10356122692656E-017</v>
      </c>
      <c r="J35" s="1" t="n">
        <f aca="false">J$2*SIN((PI()*J$1*$A35)/6)</f>
        <v>-0.033221</v>
      </c>
      <c r="K35" s="1" t="n">
        <f aca="false">K$2*COS((PI()*K$1*$A35)/6)</f>
        <v>0.058566</v>
      </c>
      <c r="L35" s="1" t="n">
        <f aca="false">L$2*SIN((PI()*L$1*$A35)/6)</f>
        <v>-7.63403033373459E-017</v>
      </c>
      <c r="M35" s="1" t="n">
        <f aca="false">M$2*COS((PI()*M$1*$A35)/6)</f>
        <v>3.24613416708397E-017</v>
      </c>
      <c r="N35" s="1" t="n">
        <f aca="false">N$2*SIN((PI()*N$1*$A35)/6)</f>
        <v>-0.011584</v>
      </c>
      <c r="O35" s="2" t="n">
        <f aca="false">O$2*(-1)^(A35)</f>
        <v>-0.114941</v>
      </c>
      <c r="P35" s="2" t="n">
        <f aca="false">100*LN(C35)</f>
        <v>432.804552080737</v>
      </c>
      <c r="Q35" s="2" t="n">
        <f aca="false">SUM(E35:O35)</f>
        <v>-0.224172999999999</v>
      </c>
      <c r="R35" s="2" t="n">
        <f aca="false">P35-Q35</f>
        <v>433.028725080737</v>
      </c>
      <c r="S35" s="1" t="n">
        <f aca="false">EXP(R35/100)</f>
        <v>75.9661047603158</v>
      </c>
    </row>
    <row r="36" customFormat="false" ht="12.8" hidden="false" customHeight="false" outlineLevel="0" collapsed="false">
      <c r="A36" s="2" t="n">
        <v>34</v>
      </c>
      <c r="B36" s="2" t="s">
        <v>40</v>
      </c>
      <c r="C36" s="2" t="n">
        <v>76.575</v>
      </c>
      <c r="D36" s="2" t="n">
        <f aca="false">100*LN(C36)</f>
        <v>433.827065271884</v>
      </c>
      <c r="E36" s="2" t="n">
        <f aca="false">E$2*COS((PI()*E$1*$A36)/6)</f>
        <v>-0.0804950000000001</v>
      </c>
      <c r="F36" s="2" t="n">
        <f aca="false">F$2*SIN((PI()*F$1*$A36)/6)</f>
        <v>0.143999240039661</v>
      </c>
      <c r="G36" s="1" t="n">
        <f aca="false">G$2*COS((PI()*G$1*$A36)/6)</f>
        <v>-0.1446345</v>
      </c>
      <c r="H36" s="1" t="n">
        <f aca="false">H$2*SIN((PI()*H$1*$A36)/6)</f>
        <v>0.499983312392274</v>
      </c>
      <c r="I36" s="1" t="n">
        <f aca="false">I$2*COS((PI()*I$1*$A36)/6)</f>
        <v>-0.086102</v>
      </c>
      <c r="J36" s="1" t="n">
        <f aca="false">J$2*SIN((PI()*J$1*$A36)/6)</f>
        <v>-1.87187486358038E-016</v>
      </c>
      <c r="K36" s="1" t="n">
        <f aca="false">K$2*COS((PI()*K$1*$A36)/6)</f>
        <v>-0.0292830000000001</v>
      </c>
      <c r="L36" s="1" t="n">
        <f aca="false">L$2*SIN((PI()*L$1*$A36)/6)</f>
        <v>-0.0149874356378935</v>
      </c>
      <c r="M36" s="1" t="n">
        <f aca="false">M$2*COS((PI()*M$1*$A36)/6)</f>
        <v>-0.00132499999999999</v>
      </c>
      <c r="N36" s="1" t="n">
        <f aca="false">N$2*SIN((PI()*N$1*$A36)/6)</f>
        <v>0.010032038277439</v>
      </c>
      <c r="O36" s="2" t="n">
        <f aca="false">O$2*(-1)^(A36)</f>
        <v>0.114941</v>
      </c>
      <c r="P36" s="2" t="n">
        <f aca="false">100*LN(C36)</f>
        <v>433.827065271884</v>
      </c>
      <c r="Q36" s="2" t="n">
        <f aca="false">SUM(E36:O36)</f>
        <v>0.412128655071481</v>
      </c>
      <c r="R36" s="2" t="n">
        <f aca="false">P36-Q36</f>
        <v>433.414936616812</v>
      </c>
      <c r="S36" s="1" t="n">
        <f aca="false">EXP(R36/100)</f>
        <v>76.2600619032188</v>
      </c>
    </row>
    <row r="37" customFormat="false" ht="12.8" hidden="false" customHeight="false" outlineLevel="0" collapsed="false">
      <c r="A37" s="2" t="n">
        <v>35</v>
      </c>
      <c r="B37" s="2" t="s">
        <v>41</v>
      </c>
      <c r="C37" s="2" t="n">
        <v>76.767</v>
      </c>
      <c r="D37" s="2" t="n">
        <f aca="false">100*LN(C37)</f>
        <v>434.07748603115</v>
      </c>
      <c r="E37" s="2" t="n">
        <f aca="false">E$2*COS((PI()*E$1*$A37)/6)</f>
        <v>-0.139421429755257</v>
      </c>
      <c r="F37" s="2" t="n">
        <f aca="false">F$2*SIN((PI()*F$1*$A37)/6)</f>
        <v>0.083138</v>
      </c>
      <c r="G37" s="1" t="n">
        <f aca="false">G$2*COS((PI()*G$1*$A37)/6)</f>
        <v>0.1446345</v>
      </c>
      <c r="H37" s="1" t="n">
        <f aca="false">H$2*SIN((PI()*H$1*$A37)/6)</f>
        <v>0.499983312392274</v>
      </c>
      <c r="I37" s="1" t="n">
        <f aca="false">I$2*COS((PI()*I$1*$A37)/6)</f>
        <v>2.74315687032797E-016</v>
      </c>
      <c r="J37" s="1" t="n">
        <f aca="false">J$2*SIN((PI()*J$1*$A37)/6)</f>
        <v>0.033221</v>
      </c>
      <c r="K37" s="1" t="n">
        <f aca="false">K$2*COS((PI()*K$1*$A37)/6)</f>
        <v>-0.029283</v>
      </c>
      <c r="L37" s="1" t="n">
        <f aca="false">L$2*SIN((PI()*L$1*$A37)/6)</f>
        <v>0.0149874356378935</v>
      </c>
      <c r="M37" s="1" t="n">
        <f aca="false">M$2*COS((PI()*M$1*$A37)/6)</f>
        <v>0.00229496732002878</v>
      </c>
      <c r="N37" s="1" t="n">
        <f aca="false">N$2*SIN((PI()*N$1*$A37)/6)</f>
        <v>-0.00579199999999989</v>
      </c>
      <c r="O37" s="2" t="n">
        <f aca="false">O$2*(-1)^(A37)</f>
        <v>-0.114941</v>
      </c>
      <c r="P37" s="2" t="n">
        <f aca="false">100*LN(C37)</f>
        <v>434.07748603115</v>
      </c>
      <c r="Q37" s="2" t="n">
        <f aca="false">SUM(E37:O37)</f>
        <v>0.48882178559494</v>
      </c>
      <c r="R37" s="2" t="n">
        <f aca="false">P37-Q37</f>
        <v>433.588664245555</v>
      </c>
      <c r="S37" s="1" t="n">
        <f aca="false">EXP(R37/100)</f>
        <v>76.3926618484609</v>
      </c>
    </row>
    <row r="38" customFormat="false" ht="12.8" hidden="false" customHeight="false" outlineLevel="0" collapsed="false">
      <c r="A38" s="2" t="n">
        <v>36</v>
      </c>
      <c r="B38" s="2" t="s">
        <v>42</v>
      </c>
      <c r="C38" s="2" t="n">
        <v>76.692</v>
      </c>
      <c r="D38" s="2" t="n">
        <f aca="false">100*LN(C38)</f>
        <v>433.979740045614</v>
      </c>
      <c r="E38" s="2" t="n">
        <f aca="false">E$2*COS((PI()*E$1*$A38)/6)</f>
        <v>-0.16099</v>
      </c>
      <c r="F38" s="2" t="n">
        <f aca="false">F$2*SIN((PI()*F$1*$A38)/6)</f>
        <v>1.22177622705015E-016</v>
      </c>
      <c r="G38" s="1" t="n">
        <f aca="false">G$2*COS((PI()*G$1*$A38)/6)</f>
        <v>0.289269</v>
      </c>
      <c r="H38" s="1" t="n">
        <f aca="false">H$2*SIN((PI()*H$1*$A38)/6)</f>
        <v>8.48431873438249E-016</v>
      </c>
      <c r="I38" s="1" t="n">
        <f aca="false">I$2*COS((PI()*I$1*$A38)/6)</f>
        <v>0.086102</v>
      </c>
      <c r="J38" s="1" t="n">
        <f aca="false">J$2*SIN((PI()*J$1*$A38)/6)</f>
        <v>7.32311843660536E-017</v>
      </c>
      <c r="K38" s="1" t="n">
        <f aca="false">K$2*COS((PI()*K$1*$A38)/6)</f>
        <v>0.058566</v>
      </c>
      <c r="L38" s="1" t="n">
        <f aca="false">L$2*SIN((PI()*L$1*$A38)/6)</f>
        <v>5.08649700145058E-017</v>
      </c>
      <c r="M38" s="1" t="n">
        <f aca="false">M$2*COS((PI()*M$1*$A38)/6)</f>
        <v>-0.00265</v>
      </c>
      <c r="N38" s="1" t="n">
        <f aca="false">N$2*SIN((PI()*N$1*$A38)/6)</f>
        <v>3.97503449464812E-017</v>
      </c>
      <c r="O38" s="2" t="n">
        <f aca="false">O$2*(-1)^(A38)</f>
        <v>0.114941</v>
      </c>
      <c r="P38" s="2" t="n">
        <f aca="false">100*LN(C38)</f>
        <v>433.979740045614</v>
      </c>
      <c r="Q38" s="2" t="n">
        <f aca="false">SUM(E38:O38)</f>
        <v>0.385238000000001</v>
      </c>
      <c r="R38" s="2" t="n">
        <f aca="false">P38-Q38</f>
        <v>433.594502045614</v>
      </c>
      <c r="S38" s="1" t="n">
        <f aca="false">EXP(R38/100)</f>
        <v>76.397121629495</v>
      </c>
    </row>
    <row r="39" customFormat="false" ht="12.8" hidden="false" customHeight="false" outlineLevel="0" collapsed="false">
      <c r="A39" s="2" t="n">
        <v>37</v>
      </c>
      <c r="B39" s="2" t="s">
        <v>43</v>
      </c>
      <c r="C39" s="2" t="n">
        <v>76.046</v>
      </c>
      <c r="D39" s="2" t="n">
        <f aca="false">100*LN(C39)</f>
        <v>433.133842034636</v>
      </c>
      <c r="E39" s="2" t="n">
        <f aca="false">E$2*COS((PI()*E$1*$A39)/6)</f>
        <v>-0.139421429755257</v>
      </c>
      <c r="F39" s="2" t="n">
        <f aca="false">F$2*SIN((PI()*F$1*$A39)/6)</f>
        <v>-0.0831379999999998</v>
      </c>
      <c r="G39" s="1" t="n">
        <f aca="false">G$2*COS((PI()*G$1*$A39)/6)</f>
        <v>0.144634500000001</v>
      </c>
      <c r="H39" s="1" t="n">
        <f aca="false">H$2*SIN((PI()*H$1*$A39)/6)</f>
        <v>-0.499983312392273</v>
      </c>
      <c r="I39" s="1" t="n">
        <f aca="false">I$2*COS((PI()*I$1*$A39)/6)</f>
        <v>4.21245200093026E-017</v>
      </c>
      <c r="J39" s="1" t="n">
        <f aca="false">J$2*SIN((PI()*J$1*$A39)/6)</f>
        <v>-0.033221</v>
      </c>
      <c r="K39" s="1" t="n">
        <f aca="false">K$2*COS((PI()*K$1*$A39)/6)</f>
        <v>-0.0292829999999997</v>
      </c>
      <c r="L39" s="1" t="n">
        <f aca="false">L$2*SIN((PI()*L$1*$A39)/6)</f>
        <v>-0.0149874356378935</v>
      </c>
      <c r="M39" s="1" t="n">
        <f aca="false">M$2*COS((PI()*M$1*$A39)/6)</f>
        <v>0.00229496732002875</v>
      </c>
      <c r="N39" s="1" t="n">
        <f aca="false">N$2*SIN((PI()*N$1*$A39)/6)</f>
        <v>0.0057920000000001</v>
      </c>
      <c r="O39" s="2" t="n">
        <f aca="false">O$2*(-1)^(A39)</f>
        <v>-0.114941</v>
      </c>
      <c r="P39" s="2" t="n">
        <f aca="false">100*LN(C39)</f>
        <v>433.133842034636</v>
      </c>
      <c r="Q39" s="2" t="n">
        <f aca="false">SUM(E39:O39)</f>
        <v>-0.762253710465393</v>
      </c>
      <c r="R39" s="2" t="n">
        <f aca="false">P39-Q39</f>
        <v>433.896095745101</v>
      </c>
      <c r="S39" s="1" t="n">
        <f aca="false">EXP(R39/100)</f>
        <v>76.6278783338485</v>
      </c>
    </row>
    <row r="40" customFormat="false" ht="12.8" hidden="false" customHeight="false" outlineLevel="0" collapsed="false">
      <c r="A40" s="2" t="n">
        <v>38</v>
      </c>
      <c r="B40" s="2" t="s">
        <v>44</v>
      </c>
      <c r="C40" s="2" t="n">
        <v>76.243</v>
      </c>
      <c r="D40" s="2" t="n">
        <f aca="false">100*LN(C40)</f>
        <v>433.392560799465</v>
      </c>
      <c r="E40" s="2" t="n">
        <f aca="false">E$2*COS((PI()*E$1*$A40)/6)</f>
        <v>-0.0804950000000003</v>
      </c>
      <c r="F40" s="2" t="n">
        <f aca="false">F$2*SIN((PI()*F$1*$A40)/6)</f>
        <v>-0.143999240039661</v>
      </c>
      <c r="G40" s="1" t="n">
        <f aca="false">G$2*COS((PI()*G$1*$A40)/6)</f>
        <v>-0.144634499999999</v>
      </c>
      <c r="H40" s="1" t="n">
        <f aca="false">H$2*SIN((PI()*H$1*$A40)/6)</f>
        <v>-0.499983312392275</v>
      </c>
      <c r="I40" s="1" t="n">
        <f aca="false">I$2*COS((PI()*I$1*$A40)/6)</f>
        <v>-0.086102</v>
      </c>
      <c r="J40" s="1" t="n">
        <f aca="false">J$2*SIN((PI()*J$1*$A40)/6)</f>
        <v>-1.95324284620932E-016</v>
      </c>
      <c r="K40" s="1" t="n">
        <f aca="false">K$2*COS((PI()*K$1*$A40)/6)</f>
        <v>-0.0292830000000004</v>
      </c>
      <c r="L40" s="1" t="n">
        <f aca="false">L$2*SIN((PI()*L$1*$A40)/6)</f>
        <v>0.0149874356378934</v>
      </c>
      <c r="M40" s="1" t="n">
        <f aca="false">M$2*COS((PI()*M$1*$A40)/6)</f>
        <v>-0.00132500000000001</v>
      </c>
      <c r="N40" s="1" t="n">
        <f aca="false">N$2*SIN((PI()*N$1*$A40)/6)</f>
        <v>-0.0100320382774389</v>
      </c>
      <c r="O40" s="2" t="n">
        <f aca="false">O$2*(-1)^(A40)</f>
        <v>0.114941</v>
      </c>
      <c r="P40" s="2" t="n">
        <f aca="false">100*LN(C40)</f>
        <v>433.392560799465</v>
      </c>
      <c r="Q40" s="2" t="n">
        <f aca="false">SUM(E40:O40)</f>
        <v>-0.865925655071481</v>
      </c>
      <c r="R40" s="2" t="n">
        <f aca="false">P40-Q40</f>
        <v>434.258486454537</v>
      </c>
      <c r="S40" s="1" t="n">
        <f aca="false">EXP(R40/100)</f>
        <v>76.906074419697</v>
      </c>
    </row>
    <row r="41" customFormat="false" ht="12.8" hidden="false" customHeight="false" outlineLevel="0" collapsed="false">
      <c r="A41" s="2" t="n">
        <v>39</v>
      </c>
      <c r="B41" s="2" t="s">
        <v>45</v>
      </c>
      <c r="C41" s="2" t="n">
        <v>76.846</v>
      </c>
      <c r="D41" s="2" t="n">
        <f aca="false">100*LN(C41)</f>
        <v>434.180341918301</v>
      </c>
      <c r="E41" s="2" t="n">
        <f aca="false">E$2*COS((PI()*E$1*$A41)/6)</f>
        <v>-4.14127014901622E-016</v>
      </c>
      <c r="F41" s="2" t="n">
        <f aca="false">F$2*SIN((PI()*F$1*$A41)/6)</f>
        <v>-0.166276</v>
      </c>
      <c r="G41" s="1" t="n">
        <f aca="false">G$2*COS((PI()*G$1*$A41)/6)</f>
        <v>-0.289269</v>
      </c>
      <c r="H41" s="1" t="n">
        <f aca="false">H$2*SIN((PI()*H$1*$A41)/6)</f>
        <v>-2.97022627045368E-015</v>
      </c>
      <c r="I41" s="1" t="n">
        <f aca="false">I$2*COS((PI()*I$1*$A41)/6)</f>
        <v>-3.58564727051402E-016</v>
      </c>
      <c r="J41" s="1" t="n">
        <f aca="false">J$2*SIN((PI()*J$1*$A41)/6)</f>
        <v>0.033221</v>
      </c>
      <c r="K41" s="1" t="n">
        <f aca="false">K$2*COS((PI()*K$1*$A41)/6)</f>
        <v>0.058566</v>
      </c>
      <c r="L41" s="1" t="n">
        <f aca="false">L$2*SIN((PI()*L$1*$A41)/6)</f>
        <v>1.78070243366358E-016</v>
      </c>
      <c r="M41" s="1" t="n">
        <f aca="false">M$2*COS((PI()*M$1*$A41)/6)</f>
        <v>-2.46693074308886E-017</v>
      </c>
      <c r="N41" s="1" t="n">
        <f aca="false">N$2*SIN((PI()*N$1*$A41)/6)</f>
        <v>0.011584</v>
      </c>
      <c r="O41" s="2" t="n">
        <f aca="false">O$2*(-1)^(A41)</f>
        <v>-0.114941</v>
      </c>
      <c r="P41" s="2" t="n">
        <f aca="false">100*LN(C41)</f>
        <v>434.180341918301</v>
      </c>
      <c r="Q41" s="2" t="n">
        <f aca="false">SUM(E41:O41)</f>
        <v>-0.467115000000004</v>
      </c>
      <c r="R41" s="2" t="n">
        <f aca="false">P41-Q41</f>
        <v>434.647456918301</v>
      </c>
      <c r="S41" s="1" t="n">
        <f aca="false">EXP(R41/100)</f>
        <v>77.2057988759363</v>
      </c>
    </row>
    <row r="42" customFormat="false" ht="12.8" hidden="false" customHeight="false" outlineLevel="0" collapsed="false">
      <c r="A42" s="2" t="n">
        <v>40</v>
      </c>
      <c r="B42" s="2" t="s">
        <v>46</v>
      </c>
      <c r="C42" s="2" t="n">
        <v>77.953</v>
      </c>
      <c r="D42" s="2" t="n">
        <f aca="false">100*LN(C42)</f>
        <v>435.610608097232</v>
      </c>
      <c r="E42" s="2" t="n">
        <f aca="false">E$2*COS((PI()*E$1*$A42)/6)</f>
        <v>0.0804950000000001</v>
      </c>
      <c r="F42" s="2" t="n">
        <f aca="false">F$2*SIN((PI()*F$1*$A42)/6)</f>
        <v>-0.143999240039661</v>
      </c>
      <c r="G42" s="1" t="n">
        <f aca="false">G$2*COS((PI()*G$1*$A42)/6)</f>
        <v>-0.1446345</v>
      </c>
      <c r="H42" s="1" t="n">
        <f aca="false">H$2*SIN((PI()*H$1*$A42)/6)</f>
        <v>0.499983312392274</v>
      </c>
      <c r="I42" s="1" t="n">
        <f aca="false">I$2*COS((PI()*I$1*$A42)/6)</f>
        <v>0.086102</v>
      </c>
      <c r="J42" s="1" t="n">
        <f aca="false">J$2*SIN((PI()*J$1*$A42)/6)</f>
        <v>3.17417384875811E-016</v>
      </c>
      <c r="K42" s="1" t="n">
        <f aca="false">K$2*COS((PI()*K$1*$A42)/6)</f>
        <v>-0.0292830000000001</v>
      </c>
      <c r="L42" s="1" t="n">
        <f aca="false">L$2*SIN((PI()*L$1*$A42)/6)</f>
        <v>-0.0149874356378935</v>
      </c>
      <c r="M42" s="1" t="n">
        <f aca="false">M$2*COS((PI()*M$1*$A42)/6)</f>
        <v>0.00132499999999999</v>
      </c>
      <c r="N42" s="1" t="n">
        <f aca="false">N$2*SIN((PI()*N$1*$A42)/6)</f>
        <v>-0.010032038277439</v>
      </c>
      <c r="O42" s="2" t="n">
        <f aca="false">O$2*(-1)^(A42)</f>
        <v>0.114941</v>
      </c>
      <c r="P42" s="2" t="n">
        <f aca="false">100*LN(C42)</f>
        <v>435.610608097232</v>
      </c>
      <c r="Q42" s="2" t="n">
        <f aca="false">SUM(E42:O42)</f>
        <v>0.439910098437281</v>
      </c>
      <c r="R42" s="2" t="n">
        <f aca="false">P42-Q42</f>
        <v>435.170697998795</v>
      </c>
      <c r="S42" s="1" t="n">
        <f aca="false">EXP(R42/100)</f>
        <v>77.6108300528494</v>
      </c>
    </row>
    <row r="43" customFormat="false" ht="12.8" hidden="false" customHeight="false" outlineLevel="0" collapsed="false">
      <c r="A43" s="2" t="n">
        <v>41</v>
      </c>
      <c r="B43" s="2" t="s">
        <v>47</v>
      </c>
      <c r="C43" s="2" t="n">
        <v>78.102</v>
      </c>
      <c r="D43" s="2" t="n">
        <f aca="false">100*LN(C43)</f>
        <v>435.801566471238</v>
      </c>
      <c r="E43" s="2" t="n">
        <f aca="false">E$2*COS((PI()*E$1*$A43)/6)</f>
        <v>0.139421429755256</v>
      </c>
      <c r="F43" s="2" t="n">
        <f aca="false">F$2*SIN((PI()*F$1*$A43)/6)</f>
        <v>-0.0831380000000006</v>
      </c>
      <c r="G43" s="1" t="n">
        <f aca="false">G$2*COS((PI()*G$1*$A43)/6)</f>
        <v>0.144634499999998</v>
      </c>
      <c r="H43" s="1" t="n">
        <f aca="false">H$2*SIN((PI()*H$1*$A43)/6)</f>
        <v>0.499983312392276</v>
      </c>
      <c r="I43" s="1" t="n">
        <f aca="false">I$2*COS((PI()*I$1*$A43)/6)</f>
        <v>6.75004934093501E-016</v>
      </c>
      <c r="J43" s="1" t="n">
        <f aca="false">J$2*SIN((PI()*J$1*$A43)/6)</f>
        <v>-0.033221</v>
      </c>
      <c r="K43" s="1" t="n">
        <f aca="false">K$2*COS((PI()*K$1*$A43)/6)</f>
        <v>-0.0292830000000008</v>
      </c>
      <c r="L43" s="1" t="n">
        <f aca="false">L$2*SIN((PI()*L$1*$A43)/6)</f>
        <v>0.0149874356378934</v>
      </c>
      <c r="M43" s="1" t="n">
        <f aca="false">M$2*COS((PI()*M$1*$A43)/6)</f>
        <v>-0.00229496732002877</v>
      </c>
      <c r="N43" s="1" t="n">
        <f aca="false">N$2*SIN((PI()*N$1*$A43)/6)</f>
        <v>0.00579199999999992</v>
      </c>
      <c r="O43" s="2" t="n">
        <f aca="false">O$2*(-1)^(A43)</f>
        <v>-0.114941</v>
      </c>
      <c r="P43" s="2" t="n">
        <f aca="false">100*LN(C43)</f>
        <v>435.801566471238</v>
      </c>
      <c r="Q43" s="2" t="n">
        <f aca="false">SUM(E43:O43)</f>
        <v>0.541940710465395</v>
      </c>
      <c r="R43" s="2" t="n">
        <f aca="false">P43-Q43</f>
        <v>435.259625760772</v>
      </c>
      <c r="S43" s="1" t="n">
        <f aca="false">EXP(R43/100)</f>
        <v>77.6798783240585</v>
      </c>
    </row>
    <row r="44" customFormat="false" ht="12.8" hidden="false" customHeight="false" outlineLevel="0" collapsed="false">
      <c r="A44" s="2" t="n">
        <v>42</v>
      </c>
      <c r="B44" s="2" t="s">
        <v>48</v>
      </c>
      <c r="C44" s="2" t="n">
        <v>78.284</v>
      </c>
      <c r="D44" s="2" t="n">
        <f aca="false">100*LN(C44)</f>
        <v>436.034323984272</v>
      </c>
      <c r="E44" s="2" t="n">
        <f aca="false">E$2*COS((PI()*E$1*$A44)/6)</f>
        <v>0.16099</v>
      </c>
      <c r="F44" s="2" t="n">
        <f aca="false">F$2*SIN((PI()*F$1*$A44)/6)</f>
        <v>-1.42540559822518E-016</v>
      </c>
      <c r="G44" s="1" t="n">
        <f aca="false">G$2*COS((PI()*G$1*$A44)/6)</f>
        <v>0.289269</v>
      </c>
      <c r="H44" s="1" t="n">
        <f aca="false">H$2*SIN((PI()*H$1*$A44)/6)</f>
        <v>9.89837185677957E-016</v>
      </c>
      <c r="I44" s="1" t="n">
        <f aca="false">I$2*COS((PI()*I$1*$A44)/6)</f>
        <v>-0.086102</v>
      </c>
      <c r="J44" s="1" t="n">
        <f aca="false">J$2*SIN((PI()*J$1*$A44)/6)</f>
        <v>3.25883193630356E-017</v>
      </c>
      <c r="K44" s="1" t="n">
        <f aca="false">K$2*COS((PI()*K$1*$A44)/6)</f>
        <v>0.058566</v>
      </c>
      <c r="L44" s="1" t="n">
        <f aca="false">L$2*SIN((PI()*L$1*$A44)/6)</f>
        <v>5.93424650169235E-017</v>
      </c>
      <c r="M44" s="1" t="n">
        <f aca="false">M$2*COS((PI()*M$1*$A44)/6)</f>
        <v>0.00265</v>
      </c>
      <c r="N44" s="1" t="n">
        <f aca="false">N$2*SIN((PI()*N$1*$A44)/6)</f>
        <v>-7.38118259410447E-017</v>
      </c>
      <c r="O44" s="2" t="n">
        <f aca="false">O$2*(-1)^(A44)</f>
        <v>0.114941</v>
      </c>
      <c r="P44" s="2" t="n">
        <f aca="false">100*LN(C44)</f>
        <v>436.034323984272</v>
      </c>
      <c r="Q44" s="2" t="n">
        <f aca="false">SUM(E44:O44)</f>
        <v>0.540314000000001</v>
      </c>
      <c r="R44" s="2" t="n">
        <f aca="false">P44-Q44</f>
        <v>435.494009984272</v>
      </c>
      <c r="S44" s="1" t="n">
        <f aca="false">EXP(R44/100)</f>
        <v>77.8621612414351</v>
      </c>
    </row>
    <row r="45" customFormat="false" ht="12.8" hidden="false" customHeight="false" outlineLevel="0" collapsed="false">
      <c r="A45" s="2" t="n">
        <v>43</v>
      </c>
      <c r="B45" s="2" t="s">
        <v>49</v>
      </c>
      <c r="C45" s="2" t="n">
        <v>77.805</v>
      </c>
      <c r="D45" s="2" t="n">
        <f aca="false">100*LN(C45)</f>
        <v>435.420569647147</v>
      </c>
      <c r="E45" s="2" t="n">
        <f aca="false">E$2*COS((PI()*E$1*$A45)/6)</f>
        <v>0.139421429755257</v>
      </c>
      <c r="F45" s="2" t="n">
        <f aca="false">F$2*SIN((PI()*F$1*$A45)/6)</f>
        <v>0.0831379999999998</v>
      </c>
      <c r="G45" s="1" t="n">
        <f aca="false">G$2*COS((PI()*G$1*$A45)/6)</f>
        <v>0.144634500000001</v>
      </c>
      <c r="H45" s="1" t="n">
        <f aca="false">H$2*SIN((PI()*H$1*$A45)/6)</f>
        <v>-0.499983312392273</v>
      </c>
      <c r="I45" s="1" t="n">
        <f aca="false">I$2*COS((PI()*I$1*$A45)/6)</f>
        <v>-3.79653634791439E-016</v>
      </c>
      <c r="J45" s="1" t="n">
        <f aca="false">J$2*SIN((PI()*J$1*$A45)/6)</f>
        <v>0.033221</v>
      </c>
      <c r="K45" s="1" t="n">
        <f aca="false">K$2*COS((PI()*K$1*$A45)/6)</f>
        <v>-0.0292829999999997</v>
      </c>
      <c r="L45" s="1" t="n">
        <f aca="false">L$2*SIN((PI()*L$1*$A45)/6)</f>
        <v>-0.0149874356378935</v>
      </c>
      <c r="M45" s="1" t="n">
        <f aca="false">M$2*COS((PI()*M$1*$A45)/6)</f>
        <v>-0.00229496732002875</v>
      </c>
      <c r="N45" s="1" t="n">
        <f aca="false">N$2*SIN((PI()*N$1*$A45)/6)</f>
        <v>-0.00579200000000007</v>
      </c>
      <c r="O45" s="2" t="n">
        <f aca="false">O$2*(-1)^(A45)</f>
        <v>-0.114941</v>
      </c>
      <c r="P45" s="2" t="n">
        <f aca="false">100*LN(C45)</f>
        <v>435.420569647147</v>
      </c>
      <c r="Q45" s="2" t="n">
        <f aca="false">SUM(E45:O45)</f>
        <v>-0.266866785594938</v>
      </c>
      <c r="R45" s="2" t="n">
        <f aca="false">P45-Q45</f>
        <v>435.687436432742</v>
      </c>
      <c r="S45" s="1" t="n">
        <f aca="false">EXP(R45/100)</f>
        <v>78.0129130045155</v>
      </c>
    </row>
    <row r="46" customFormat="false" ht="12.8" hidden="false" customHeight="false" outlineLevel="0" collapsed="false">
      <c r="A46" s="2" t="n">
        <v>44</v>
      </c>
      <c r="B46" s="2" t="s">
        <v>50</v>
      </c>
      <c r="C46" s="2" t="n">
        <v>78.147</v>
      </c>
      <c r="D46" s="2" t="n">
        <f aca="false">100*LN(C46)</f>
        <v>435.859166841473</v>
      </c>
      <c r="E46" s="2" t="n">
        <f aca="false">E$2*COS((PI()*E$1*$A46)/6)</f>
        <v>0.0804950000000003</v>
      </c>
      <c r="F46" s="2" t="n">
        <f aca="false">F$2*SIN((PI()*F$1*$A46)/6)</f>
        <v>0.143999240039661</v>
      </c>
      <c r="G46" s="1" t="n">
        <f aca="false">G$2*COS((PI()*G$1*$A46)/6)</f>
        <v>-0.144634499999999</v>
      </c>
      <c r="H46" s="1" t="n">
        <f aca="false">H$2*SIN((PI()*H$1*$A46)/6)</f>
        <v>-0.499983312392275</v>
      </c>
      <c r="I46" s="1" t="n">
        <f aca="false">I$2*COS((PI()*I$1*$A46)/6)</f>
        <v>0.086102</v>
      </c>
      <c r="J46" s="1" t="n">
        <f aca="false">J$2*SIN((PI()*J$1*$A46)/6)</f>
        <v>-1.4654462135502E-016</v>
      </c>
      <c r="K46" s="1" t="n">
        <f aca="false">K$2*COS((PI()*K$1*$A46)/6)</f>
        <v>-0.0292830000000004</v>
      </c>
      <c r="L46" s="1" t="n">
        <f aca="false">L$2*SIN((PI()*L$1*$A46)/6)</f>
        <v>0.0149874356378934</v>
      </c>
      <c r="M46" s="1" t="n">
        <f aca="false">M$2*COS((PI()*M$1*$A46)/6)</f>
        <v>0.00132500000000002</v>
      </c>
      <c r="N46" s="1" t="n">
        <f aca="false">N$2*SIN((PI()*N$1*$A46)/6)</f>
        <v>0.0100320382774389</v>
      </c>
      <c r="O46" s="2" t="n">
        <f aca="false">O$2*(-1)^(A46)</f>
        <v>0.114941</v>
      </c>
      <c r="P46" s="2" t="n">
        <f aca="false">100*LN(C46)</f>
        <v>435.859166841473</v>
      </c>
      <c r="Q46" s="2" t="n">
        <f aca="false">SUM(E46:O46)</f>
        <v>-0.222019098437281</v>
      </c>
      <c r="R46" s="2" t="n">
        <f aca="false">P46-Q46</f>
        <v>436.08118593991</v>
      </c>
      <c r="S46" s="1" t="n">
        <f aca="false">EXP(R46/100)</f>
        <v>78.3206940104454</v>
      </c>
    </row>
    <row r="47" customFormat="false" ht="12.8" hidden="false" customHeight="false" outlineLevel="0" collapsed="false">
      <c r="A47" s="2" t="n">
        <v>45</v>
      </c>
      <c r="B47" s="2" t="s">
        <v>51</v>
      </c>
      <c r="C47" s="2" t="n">
        <v>78.627</v>
      </c>
      <c r="D47" s="2" t="n">
        <f aca="false">100*LN(C47)</f>
        <v>436.471515189899</v>
      </c>
      <c r="E47" s="2" t="n">
        <f aca="false">E$2*COS((PI()*E$1*$A47)/6)</f>
        <v>-1.38108771428997E-016</v>
      </c>
      <c r="F47" s="2" t="n">
        <f aca="false">F$2*SIN((PI()*F$1*$A47)/6)</f>
        <v>0.166276</v>
      </c>
      <c r="G47" s="1" t="n">
        <f aca="false">G$2*COS((PI()*G$1*$A47)/6)</f>
        <v>-0.289269</v>
      </c>
      <c r="H47" s="1" t="n">
        <f aca="false">H$2*SIN((PI()*H$1*$A47)/6)</f>
        <v>9.90551899097761E-016</v>
      </c>
      <c r="I47" s="1" t="n">
        <f aca="false">I$2*COS((PI()*I$1*$A47)/6)</f>
        <v>8.43023354893768E-017</v>
      </c>
      <c r="J47" s="1" t="n">
        <f aca="false">J$2*SIN((PI()*J$1*$A47)/6)</f>
        <v>-0.033221</v>
      </c>
      <c r="K47" s="1" t="n">
        <f aca="false">K$2*COS((PI()*K$1*$A47)/6)</f>
        <v>0.058566</v>
      </c>
      <c r="L47" s="1" t="n">
        <f aca="false">L$2*SIN((PI()*L$1*$A47)/6)</f>
        <v>-5.93853133325107E-017</v>
      </c>
      <c r="M47" s="1" t="n">
        <f aca="false">M$2*COS((PI()*M$1*$A47)/6)</f>
        <v>1.68772731909375E-017</v>
      </c>
      <c r="N47" s="1" t="n">
        <f aca="false">N$2*SIN((PI()*N$1*$A47)/6)</f>
        <v>-0.011584</v>
      </c>
      <c r="O47" s="2" t="n">
        <f aca="false">O$2*(-1)^(A47)</f>
        <v>-0.114941</v>
      </c>
      <c r="P47" s="2" t="n">
        <f aca="false">100*LN(C47)</f>
        <v>436.471515189899</v>
      </c>
      <c r="Q47" s="2" t="n">
        <f aca="false">SUM(E47:O47)</f>
        <v>-0.224172999999999</v>
      </c>
      <c r="R47" s="2" t="n">
        <f aca="false">P47-Q47</f>
        <v>436.695688189899</v>
      </c>
      <c r="S47" s="1" t="n">
        <f aca="false">EXP(R47/100)</f>
        <v>78.803458216652</v>
      </c>
    </row>
    <row r="48" customFormat="false" ht="12.8" hidden="false" customHeight="false" outlineLevel="0" collapsed="false">
      <c r="A48" s="2" t="n">
        <v>46</v>
      </c>
      <c r="B48" s="2" t="s">
        <v>52</v>
      </c>
      <c r="C48" s="2" t="n">
        <v>79.266</v>
      </c>
      <c r="D48" s="2" t="n">
        <f aca="false">100*LN(C48)</f>
        <v>437.280928512427</v>
      </c>
      <c r="E48" s="2" t="n">
        <f aca="false">E$2*COS((PI()*E$1*$A48)/6)</f>
        <v>-0.0804949999999995</v>
      </c>
      <c r="F48" s="2" t="n">
        <f aca="false">F$2*SIN((PI()*F$1*$A48)/6)</f>
        <v>0.143999240039662</v>
      </c>
      <c r="G48" s="1" t="n">
        <f aca="false">G$2*COS((PI()*G$1*$A48)/6)</f>
        <v>-0.144634500000002</v>
      </c>
      <c r="H48" s="1" t="n">
        <f aca="false">H$2*SIN((PI()*H$1*$A48)/6)</f>
        <v>0.499983312392272</v>
      </c>
      <c r="I48" s="1" t="n">
        <f aca="false">I$2*COS((PI()*I$1*$A48)/6)</f>
        <v>-0.086102</v>
      </c>
      <c r="J48" s="1" t="n">
        <f aca="false">J$2*SIN((PI()*J$1*$A48)/6)</f>
        <v>-2.11597881146722E-016</v>
      </c>
      <c r="K48" s="1" t="n">
        <f aca="false">K$2*COS((PI()*K$1*$A48)/6)</f>
        <v>-0.0292829999999993</v>
      </c>
      <c r="L48" s="1" t="n">
        <f aca="false">L$2*SIN((PI()*L$1*$A48)/6)</f>
        <v>-0.0149874356378936</v>
      </c>
      <c r="M48" s="1" t="n">
        <f aca="false">M$2*COS((PI()*M$1*$A48)/6)</f>
        <v>-0.00132499999999998</v>
      </c>
      <c r="N48" s="1" t="n">
        <f aca="false">N$2*SIN((PI()*N$1*$A48)/6)</f>
        <v>0.010032038277439</v>
      </c>
      <c r="O48" s="2" t="n">
        <f aca="false">O$2*(-1)^(A48)</f>
        <v>0.114941</v>
      </c>
      <c r="P48" s="2" t="n">
        <f aca="false">100*LN(C48)</f>
        <v>437.280928512427</v>
      </c>
      <c r="Q48" s="2" t="n">
        <f aca="false">SUM(E48:O48)</f>
        <v>0.412128655071478</v>
      </c>
      <c r="R48" s="2" t="n">
        <f aca="false">P48-Q48</f>
        <v>436.868799857356</v>
      </c>
      <c r="S48" s="1" t="n">
        <f aca="false">EXP(R48/100)</f>
        <v>78.9399943430695</v>
      </c>
    </row>
    <row r="49" customFormat="false" ht="12.8" hidden="false" customHeight="false" outlineLevel="0" collapsed="false">
      <c r="A49" s="2" t="n">
        <v>47</v>
      </c>
      <c r="B49" s="2" t="s">
        <v>53</v>
      </c>
      <c r="C49" s="2" t="n">
        <v>79.386</v>
      </c>
      <c r="D49" s="2" t="n">
        <f aca="false">100*LN(C49)</f>
        <v>437.432203028833</v>
      </c>
      <c r="E49" s="2" t="n">
        <f aca="false">E$2*COS((PI()*E$1*$A49)/6)</f>
        <v>-0.139421429755257</v>
      </c>
      <c r="F49" s="2" t="n">
        <f aca="false">F$2*SIN((PI()*F$1*$A49)/6)</f>
        <v>0.0831380000000001</v>
      </c>
      <c r="G49" s="1" t="n">
        <f aca="false">G$2*COS((PI()*G$1*$A49)/6)</f>
        <v>0.1446345</v>
      </c>
      <c r="H49" s="1" t="n">
        <f aca="false">H$2*SIN((PI()*H$1*$A49)/6)</f>
        <v>0.499983312392274</v>
      </c>
      <c r="I49" s="1" t="n">
        <f aca="false">I$2*COS((PI()*I$1*$A49)/6)</f>
        <v>-1.01253404887564E-015</v>
      </c>
      <c r="J49" s="1" t="n">
        <f aca="false">J$2*SIN((PI()*J$1*$A49)/6)</f>
        <v>0.033221</v>
      </c>
      <c r="K49" s="1" t="n">
        <f aca="false">K$2*COS((PI()*K$1*$A49)/6)</f>
        <v>-0.0292830000000001</v>
      </c>
      <c r="L49" s="1" t="n">
        <f aca="false">L$2*SIN((PI()*L$1*$A49)/6)</f>
        <v>0.0149874356378935</v>
      </c>
      <c r="M49" s="1" t="n">
        <f aca="false">M$2*COS((PI()*M$1*$A49)/6)</f>
        <v>0.00229496732002877</v>
      </c>
      <c r="N49" s="1" t="n">
        <f aca="false">N$2*SIN((PI()*N$1*$A49)/6)</f>
        <v>-0.00579199999999995</v>
      </c>
      <c r="O49" s="2" t="n">
        <f aca="false">O$2*(-1)^(A49)</f>
        <v>-0.114941</v>
      </c>
      <c r="P49" s="2" t="n">
        <f aca="false">100*LN(C49)</f>
        <v>437.432203028833</v>
      </c>
      <c r="Q49" s="2" t="n">
        <f aca="false">SUM(E49:O49)</f>
        <v>0.488821785594938</v>
      </c>
      <c r="R49" s="2" t="n">
        <f aca="false">P49-Q49</f>
        <v>436.943381243238</v>
      </c>
      <c r="S49" s="1" t="n">
        <f aca="false">EXP(R49/100)</f>
        <v>78.9988908450496</v>
      </c>
      <c r="AR49" s="2"/>
      <c r="AW49" s="2"/>
      <c r="BB49" s="2"/>
    </row>
    <row r="50" customFormat="false" ht="12.8" hidden="false" customHeight="false" outlineLevel="0" collapsed="false">
      <c r="A50" s="2" t="n">
        <v>48</v>
      </c>
      <c r="B50" s="2" t="s">
        <v>54</v>
      </c>
      <c r="C50" s="2" t="n">
        <v>79.557</v>
      </c>
      <c r="D50" s="2" t="n">
        <f aca="false">100*LN(C50)</f>
        <v>437.647374588418</v>
      </c>
      <c r="E50" s="2" t="n">
        <f aca="false">E$2*COS((PI()*E$1*$A50)/6)</f>
        <v>-0.16099</v>
      </c>
      <c r="F50" s="2" t="n">
        <f aca="false">F$2*SIN((PI()*F$1*$A50)/6)</f>
        <v>1.6290349694002E-016</v>
      </c>
      <c r="G50" s="1" t="n">
        <f aca="false">G$2*COS((PI()*G$1*$A50)/6)</f>
        <v>0.289269</v>
      </c>
      <c r="H50" s="1" t="n">
        <f aca="false">H$2*SIN((PI()*H$1*$A50)/6)</f>
        <v>1.13124249791767E-015</v>
      </c>
      <c r="I50" s="1" t="n">
        <f aca="false">I$2*COS((PI()*I$1*$A50)/6)</f>
        <v>0.086102</v>
      </c>
      <c r="J50" s="1" t="n">
        <f aca="false">J$2*SIN((PI()*J$1*$A50)/6)</f>
        <v>9.76415791547381E-017</v>
      </c>
      <c r="K50" s="1" t="n">
        <f aca="false">K$2*COS((PI()*K$1*$A50)/6)</f>
        <v>0.058566</v>
      </c>
      <c r="L50" s="1" t="n">
        <f aca="false">L$2*SIN((PI()*L$1*$A50)/6)</f>
        <v>6.78199600193411E-017</v>
      </c>
      <c r="M50" s="1" t="n">
        <f aca="false">M$2*COS((PI()*M$1*$A50)/6)</f>
        <v>-0.00265</v>
      </c>
      <c r="N50" s="1" t="n">
        <f aca="false">N$2*SIN((PI()*N$1*$A50)/6)</f>
        <v>-2.21363775106192E-016</v>
      </c>
      <c r="O50" s="2" t="n">
        <f aca="false">O$2*(-1)^(A50)</f>
        <v>0.114941</v>
      </c>
      <c r="P50" s="2" t="n">
        <f aca="false">100*LN(C50)</f>
        <v>437.647374588418</v>
      </c>
      <c r="Q50" s="2" t="n">
        <f aca="false">SUM(E50:O50)</f>
        <v>0.385238000000001</v>
      </c>
      <c r="R50" s="2" t="n">
        <f aca="false">P50-Q50</f>
        <v>437.262136588418</v>
      </c>
      <c r="S50" s="1" t="n">
        <f aca="false">EXP(R50/100)</f>
        <v>79.2511057930129</v>
      </c>
    </row>
    <row r="51" customFormat="false" ht="12.8" hidden="false" customHeight="false" outlineLevel="0" collapsed="false">
      <c r="A51" s="2" t="n">
        <v>49</v>
      </c>
      <c r="B51" s="2" t="s">
        <v>55</v>
      </c>
      <c r="C51" s="2" t="n">
        <v>79.234</v>
      </c>
      <c r="D51" s="2" t="n">
        <f aca="false">100*LN(C51)</f>
        <v>437.240549962983</v>
      </c>
      <c r="E51" s="2" t="n">
        <f aca="false">E$2*COS((PI()*E$1*$A51)/6)</f>
        <v>-0.139421429755257</v>
      </c>
      <c r="F51" s="2" t="n">
        <f aca="false">F$2*SIN((PI()*F$1*$A51)/6)</f>
        <v>-0.0831379999999998</v>
      </c>
      <c r="G51" s="1" t="n">
        <f aca="false">G$2*COS((PI()*G$1*$A51)/6)</f>
        <v>0.144634500000001</v>
      </c>
      <c r="H51" s="1" t="n">
        <f aca="false">H$2*SIN((PI()*H$1*$A51)/6)</f>
        <v>-0.499983312392273</v>
      </c>
      <c r="I51" s="1" t="n">
        <f aca="false">I$2*COS((PI()*I$1*$A51)/6)</f>
        <v>-5.06400263114748E-016</v>
      </c>
      <c r="J51" s="1" t="n">
        <f aca="false">J$2*SIN((PI()*J$1*$A51)/6)</f>
        <v>-0.033221</v>
      </c>
      <c r="K51" s="1" t="n">
        <f aca="false">K$2*COS((PI()*K$1*$A51)/6)</f>
        <v>-0.0292829999999997</v>
      </c>
      <c r="L51" s="1" t="n">
        <f aca="false">L$2*SIN((PI()*L$1*$A51)/6)</f>
        <v>-0.0149874356378935</v>
      </c>
      <c r="M51" s="1" t="n">
        <f aca="false">M$2*COS((PI()*M$1*$A51)/6)</f>
        <v>0.00229496732002876</v>
      </c>
      <c r="N51" s="1" t="n">
        <f aca="false">N$2*SIN((PI()*N$1*$A51)/6)</f>
        <v>0.00579200000000004</v>
      </c>
      <c r="O51" s="2" t="n">
        <f aca="false">O$2*(-1)^(A51)</f>
        <v>-0.114941</v>
      </c>
      <c r="P51" s="2" t="n">
        <f aca="false">100*LN(C51)</f>
        <v>437.240549962983</v>
      </c>
      <c r="Q51" s="2" t="n">
        <f aca="false">SUM(E51:O51)</f>
        <v>-0.762253710465394</v>
      </c>
      <c r="R51" s="2" t="n">
        <f aca="false">P51-Q51</f>
        <v>438.002803673448</v>
      </c>
      <c r="S51" s="1" t="n">
        <f aca="false">EXP(R51/100)</f>
        <v>79.8402718342076</v>
      </c>
      <c r="AR51" s="2"/>
      <c r="AS51" s="2"/>
      <c r="AT51" s="2"/>
      <c r="AU51" s="2"/>
      <c r="AW51" s="2"/>
      <c r="AX51" s="2"/>
      <c r="AY51" s="2"/>
      <c r="AZ51" s="2"/>
      <c r="BB51" s="2"/>
      <c r="BC51" s="2"/>
      <c r="BD51" s="2"/>
      <c r="BE51" s="2"/>
    </row>
    <row r="52" customFormat="false" ht="12.8" hidden="false" customHeight="false" outlineLevel="0" collapsed="false">
      <c r="A52" s="2" t="n">
        <v>50</v>
      </c>
      <c r="B52" s="2" t="s">
        <v>56</v>
      </c>
      <c r="C52" s="2" t="n">
        <v>79.272</v>
      </c>
      <c r="D52" s="2" t="n">
        <f aca="false">100*LN(C52)</f>
        <v>437.28849767566</v>
      </c>
      <c r="E52" s="2" t="n">
        <f aca="false">E$2*COS((PI()*E$1*$A52)/6)</f>
        <v>-0.0804949999999998</v>
      </c>
      <c r="F52" s="2" t="n">
        <f aca="false">F$2*SIN((PI()*F$1*$A52)/6)</f>
        <v>-0.143999240039661</v>
      </c>
      <c r="G52" s="1" t="n">
        <f aca="false">G$2*COS((PI()*G$1*$A52)/6)</f>
        <v>-0.144634500000001</v>
      </c>
      <c r="H52" s="1" t="n">
        <f aca="false">H$2*SIN((PI()*H$1*$A52)/6)</f>
        <v>-0.499983312392273</v>
      </c>
      <c r="I52" s="1" t="n">
        <f aca="false">I$2*COS((PI()*I$1*$A52)/6)</f>
        <v>-0.086102</v>
      </c>
      <c r="J52" s="1" t="n">
        <f aca="false">J$2*SIN((PI()*J$1*$A52)/6)</f>
        <v>1.63147228372459E-017</v>
      </c>
      <c r="K52" s="1" t="n">
        <f aca="false">K$2*COS((PI()*K$1*$A52)/6)</f>
        <v>-0.0292829999999997</v>
      </c>
      <c r="L52" s="1" t="n">
        <f aca="false">L$2*SIN((PI()*L$1*$A52)/6)</f>
        <v>0.0149874356378935</v>
      </c>
      <c r="M52" s="1" t="n">
        <f aca="false">M$2*COS((PI()*M$1*$A52)/6)</f>
        <v>-0.00132499999999999</v>
      </c>
      <c r="N52" s="1" t="n">
        <f aca="false">N$2*SIN((PI()*N$1*$A52)/6)</f>
        <v>-0.010032038277439</v>
      </c>
      <c r="O52" s="2" t="n">
        <f aca="false">O$2*(-1)^(A52)</f>
        <v>0.114941</v>
      </c>
      <c r="P52" s="2" t="n">
        <f aca="false">100*LN(C52)</f>
        <v>437.28849767566</v>
      </c>
      <c r="Q52" s="2" t="n">
        <f aca="false">SUM(E52:O52)</f>
        <v>-0.86592565507148</v>
      </c>
      <c r="R52" s="2" t="n">
        <f aca="false">P52-Q52</f>
        <v>438.154423330731</v>
      </c>
      <c r="S52" s="1" t="n">
        <f aca="false">EXP(R52/100)</f>
        <v>79.961417197621</v>
      </c>
      <c r="AL52" s="2"/>
      <c r="AR52" s="2"/>
      <c r="AS52" s="2"/>
      <c r="AT52" s="2"/>
      <c r="AU52" s="2"/>
      <c r="AW52" s="2"/>
      <c r="AX52" s="2"/>
      <c r="AY52" s="2"/>
      <c r="AZ52" s="2"/>
      <c r="BB52" s="2"/>
      <c r="BC52" s="2"/>
      <c r="BD52" s="2"/>
      <c r="BE52" s="2"/>
    </row>
    <row r="53" customFormat="false" ht="12.8" hidden="false" customHeight="false" outlineLevel="0" collapsed="false">
      <c r="A53" s="2" t="n">
        <v>51</v>
      </c>
      <c r="B53" s="2" t="s">
        <v>57</v>
      </c>
      <c r="C53" s="2" t="n">
        <v>79.833</v>
      </c>
      <c r="D53" s="2" t="n">
        <f aca="false">100*LN(C53)</f>
        <v>437.99369528088</v>
      </c>
      <c r="E53" s="2" t="n">
        <f aca="false">E$2*COS((PI()*E$1*$A53)/6)</f>
        <v>-4.53558192540569E-016</v>
      </c>
      <c r="F53" s="2" t="n">
        <f aca="false">F$2*SIN((PI()*F$1*$A53)/6)</f>
        <v>-0.166276</v>
      </c>
      <c r="G53" s="1" t="n">
        <f aca="false">G$2*COS((PI()*G$1*$A53)/6)</f>
        <v>-0.289269</v>
      </c>
      <c r="H53" s="1" t="n">
        <f aca="false">H$2*SIN((PI()*H$1*$A53)/6)</f>
        <v>-3.25303689493309E-015</v>
      </c>
      <c r="I53" s="1" t="n">
        <f aca="false">I$2*COS((PI()*I$1*$A53)/6)</f>
        <v>-4.21831450271513E-016</v>
      </c>
      <c r="J53" s="1" t="n">
        <f aca="false">J$2*SIN((PI()*J$1*$A53)/6)</f>
        <v>0.033221</v>
      </c>
      <c r="K53" s="1" t="n">
        <f aca="false">K$2*COS((PI()*K$1*$A53)/6)</f>
        <v>0.058566</v>
      </c>
      <c r="L53" s="1" t="n">
        <f aca="false">L$2*SIN((PI()*L$1*$A53)/6)</f>
        <v>1.95025233371193E-016</v>
      </c>
      <c r="M53" s="1" t="n">
        <f aca="false">M$2*COS((PI()*M$1*$A53)/6)</f>
        <v>-9.0852389509864E-018</v>
      </c>
      <c r="N53" s="1" t="n">
        <f aca="false">N$2*SIN((PI()*N$1*$A53)/6)</f>
        <v>0.011584</v>
      </c>
      <c r="O53" s="2" t="n">
        <f aca="false">O$2*(-1)^(A53)</f>
        <v>-0.114941</v>
      </c>
      <c r="P53" s="2" t="n">
        <f aca="false">100*LN(C53)</f>
        <v>437.99369528088</v>
      </c>
      <c r="Q53" s="2" t="n">
        <f aca="false">SUM(E53:O53)</f>
        <v>-0.467115000000004</v>
      </c>
      <c r="R53" s="2" t="n">
        <f aca="false">P53-Q53</f>
        <v>438.46081028088</v>
      </c>
      <c r="S53" s="1" t="n">
        <f aca="false">EXP(R53/100)</f>
        <v>80.206784239422</v>
      </c>
      <c r="T53" s="2"/>
      <c r="U53" s="2"/>
      <c r="V53" s="4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L53" s="2"/>
      <c r="AM53" s="5"/>
      <c r="AN53" s="2"/>
      <c r="AO53" s="2"/>
      <c r="AP53" s="2"/>
      <c r="AR53" s="2"/>
      <c r="AS53" s="2"/>
      <c r="AT53" s="2"/>
      <c r="AU53" s="2"/>
      <c r="AW53" s="2"/>
      <c r="AX53" s="2"/>
      <c r="AY53" s="2"/>
      <c r="AZ53" s="2"/>
      <c r="BB53" s="2"/>
      <c r="BC53" s="2"/>
      <c r="BD53" s="2"/>
      <c r="BE53" s="2"/>
    </row>
    <row r="54" customFormat="false" ht="12.8" hidden="false" customHeight="false" outlineLevel="0" collapsed="false">
      <c r="A54" s="2" t="n">
        <v>52</v>
      </c>
      <c r="B54" s="2" t="s">
        <v>58</v>
      </c>
      <c r="C54" s="2" t="n">
        <v>80.959</v>
      </c>
      <c r="D54" s="2" t="n">
        <f aca="false">100*LN(C54)</f>
        <v>439.394285368422</v>
      </c>
      <c r="E54" s="2" t="n">
        <f aca="false">E$2*COS((PI()*E$1*$A54)/6)</f>
        <v>0.080495</v>
      </c>
      <c r="F54" s="2" t="n">
        <f aca="false">F$2*SIN((PI()*F$1*$A54)/6)</f>
        <v>-0.143999240039661</v>
      </c>
      <c r="G54" s="1" t="n">
        <f aca="false">G$2*COS((PI()*G$1*$A54)/6)</f>
        <v>-0.1446345</v>
      </c>
      <c r="H54" s="1" t="n">
        <f aca="false">H$2*SIN((PI()*H$1*$A54)/6)</f>
        <v>0.499983312392274</v>
      </c>
      <c r="I54" s="1" t="n">
        <f aca="false">I$2*COS((PI()*I$1*$A54)/6)</f>
        <v>0.086102</v>
      </c>
      <c r="J54" s="1" t="n">
        <f aca="false">J$2*SIN((PI()*J$1*$A54)/6)</f>
        <v>3.41827779664496E-016</v>
      </c>
      <c r="K54" s="1" t="n">
        <f aca="false">K$2*COS((PI()*K$1*$A54)/6)</f>
        <v>-0.029283</v>
      </c>
      <c r="L54" s="1" t="n">
        <f aca="false">L$2*SIN((PI()*L$1*$A54)/6)</f>
        <v>-0.0149874356378935</v>
      </c>
      <c r="M54" s="1" t="n">
        <f aca="false">M$2*COS((PI()*M$1*$A54)/6)</f>
        <v>0.00132500000000001</v>
      </c>
      <c r="N54" s="1" t="n">
        <f aca="false">N$2*SIN((PI()*N$1*$A54)/6)</f>
        <v>-0.0100320382774389</v>
      </c>
      <c r="O54" s="2" t="n">
        <f aca="false">O$2*(-1)^(A54)</f>
        <v>0.114941</v>
      </c>
      <c r="P54" s="2" t="n">
        <f aca="false">100*LN(C54)</f>
        <v>439.394285368422</v>
      </c>
      <c r="Q54" s="2" t="n">
        <f aca="false">SUM(E54:O54)</f>
        <v>0.439910098437281</v>
      </c>
      <c r="R54" s="2" t="n">
        <f aca="false">P54-Q54</f>
        <v>438.954375269984</v>
      </c>
      <c r="S54" s="1" t="n">
        <f aca="false">EXP(R54/100)</f>
        <v>80.6036353988767</v>
      </c>
      <c r="T54" s="2"/>
      <c r="U54" s="2"/>
      <c r="V54" s="4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L54" s="2"/>
      <c r="AM54" s="5"/>
      <c r="AN54" s="2"/>
      <c r="AO54" s="2"/>
      <c r="AP54" s="2"/>
      <c r="AR54" s="2"/>
      <c r="AS54" s="2"/>
      <c r="AT54" s="2"/>
      <c r="AU54" s="2"/>
      <c r="AW54" s="2"/>
      <c r="AX54" s="2"/>
      <c r="AY54" s="2"/>
      <c r="AZ54" s="2"/>
      <c r="BB54" s="2"/>
      <c r="BC54" s="2"/>
      <c r="BD54" s="2"/>
      <c r="BE54" s="2"/>
    </row>
    <row r="55" customFormat="false" ht="12.8" hidden="false" customHeight="false" outlineLevel="0" collapsed="false">
      <c r="A55" s="2" t="n">
        <v>53</v>
      </c>
      <c r="B55" s="2" t="s">
        <v>59</v>
      </c>
      <c r="C55" s="2" t="n">
        <v>81.251</v>
      </c>
      <c r="D55" s="2" t="n">
        <f aca="false">100*LN(C55)</f>
        <v>439.754312882642</v>
      </c>
      <c r="E55" s="2" t="n">
        <f aca="false">E$2*COS((PI()*E$1*$A55)/6)</f>
        <v>0.139421429755257</v>
      </c>
      <c r="F55" s="2" t="n">
        <f aca="false">F$2*SIN((PI()*F$1*$A55)/6)</f>
        <v>-0.0831380000000001</v>
      </c>
      <c r="G55" s="1" t="n">
        <f aca="false">G$2*COS((PI()*G$1*$A55)/6)</f>
        <v>0.1446345</v>
      </c>
      <c r="H55" s="1" t="n">
        <f aca="false">H$2*SIN((PI()*H$1*$A55)/6)</f>
        <v>0.499983312392274</v>
      </c>
      <c r="I55" s="1" t="n">
        <f aca="false">I$2*COS((PI()*I$1*$A55)/6)</f>
        <v>1.26480150969451E-016</v>
      </c>
      <c r="J55" s="1" t="n">
        <f aca="false">J$2*SIN((PI()*J$1*$A55)/6)</f>
        <v>-0.033221</v>
      </c>
      <c r="K55" s="1" t="n">
        <f aca="false">K$2*COS((PI()*K$1*$A55)/6)</f>
        <v>-0.0292830000000001</v>
      </c>
      <c r="L55" s="1" t="n">
        <f aca="false">L$2*SIN((PI()*L$1*$A55)/6)</f>
        <v>0.0149874356378935</v>
      </c>
      <c r="M55" s="1" t="n">
        <f aca="false">M$2*COS((PI()*M$1*$A55)/6)</f>
        <v>-0.00229496732002877</v>
      </c>
      <c r="N55" s="1" t="n">
        <f aca="false">N$2*SIN((PI()*N$1*$A55)/6)</f>
        <v>0.00579199999999998</v>
      </c>
      <c r="O55" s="2" t="n">
        <f aca="false">O$2*(-1)^(A55)</f>
        <v>-0.114941</v>
      </c>
      <c r="P55" s="2" t="n">
        <f aca="false">100*LN(C55)</f>
        <v>439.754312882642</v>
      </c>
      <c r="Q55" s="2" t="n">
        <f aca="false">SUM(E55:O55)</f>
        <v>0.541940710465395</v>
      </c>
      <c r="R55" s="2" t="n">
        <f aca="false">P55-Q55</f>
        <v>439.212372172176</v>
      </c>
      <c r="S55" s="1" t="n">
        <f aca="false">EXP(R55/100)</f>
        <v>80.8118587706855</v>
      </c>
      <c r="T55" s="2"/>
      <c r="U55" s="2"/>
      <c r="V55" s="4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L55" s="2"/>
      <c r="AM55" s="5"/>
      <c r="AN55" s="2"/>
      <c r="AO55" s="2"/>
      <c r="AP55" s="2"/>
      <c r="AR55" s="2"/>
      <c r="AS55" s="2"/>
      <c r="AT55" s="2"/>
      <c r="AU55" s="2"/>
      <c r="AW55" s="2"/>
      <c r="AX55" s="2"/>
      <c r="AY55" s="2"/>
      <c r="AZ55" s="2"/>
      <c r="BB55" s="2"/>
      <c r="BC55" s="2"/>
      <c r="BD55" s="2"/>
      <c r="BE55" s="2"/>
    </row>
    <row r="56" customFormat="false" ht="12.8" hidden="false" customHeight="false" outlineLevel="0" collapsed="false">
      <c r="A56" s="2" t="n">
        <v>54</v>
      </c>
      <c r="B56" s="2" t="s">
        <v>60</v>
      </c>
      <c r="C56" s="2" t="n">
        <v>81.374</v>
      </c>
      <c r="D56" s="2" t="n">
        <f aca="false">100*LN(C56)</f>
        <v>439.905581166674</v>
      </c>
      <c r="E56" s="2" t="n">
        <f aca="false">E$2*COS((PI()*E$1*$A56)/6)</f>
        <v>0.16099</v>
      </c>
      <c r="F56" s="2" t="n">
        <f aca="false">F$2*SIN((PI()*F$1*$A56)/6)</f>
        <v>-1.83266434057523E-016</v>
      </c>
      <c r="G56" s="1" t="n">
        <f aca="false">G$2*COS((PI()*G$1*$A56)/6)</f>
        <v>0.289269</v>
      </c>
      <c r="H56" s="1" t="n">
        <f aca="false">H$2*SIN((PI()*H$1*$A56)/6)</f>
        <v>1.27264781015737E-015</v>
      </c>
      <c r="I56" s="1" t="n">
        <f aca="false">I$2*COS((PI()*I$1*$A56)/6)</f>
        <v>-0.086102</v>
      </c>
      <c r="J56" s="1" t="n">
        <f aca="false">J$2*SIN((PI()*J$1*$A56)/6)</f>
        <v>-2.27871477672512E-016</v>
      </c>
      <c r="K56" s="1" t="n">
        <f aca="false">K$2*COS((PI()*K$1*$A56)/6)</f>
        <v>0.058566</v>
      </c>
      <c r="L56" s="1" t="n">
        <f aca="false">L$2*SIN((PI()*L$1*$A56)/6)</f>
        <v>7.62974550217587E-017</v>
      </c>
      <c r="M56" s="1" t="n">
        <f aca="false">M$2*COS((PI()*M$1*$A56)/6)</f>
        <v>0.00265</v>
      </c>
      <c r="N56" s="1" t="n">
        <f aca="false">N$2*SIN((PI()*N$1*$A56)/6)</f>
        <v>2.26837530907282E-017</v>
      </c>
      <c r="O56" s="2" t="n">
        <f aca="false">O$2*(-1)^(A56)</f>
        <v>0.114941</v>
      </c>
      <c r="P56" s="2" t="n">
        <f aca="false">100*LN(C56)</f>
        <v>439.905581166674</v>
      </c>
      <c r="Q56" s="2" t="n">
        <f aca="false">SUM(E56:O56)</f>
        <v>0.540314000000001</v>
      </c>
      <c r="R56" s="2" t="n">
        <f aca="false">P56-Q56</f>
        <v>439.365267166674</v>
      </c>
      <c r="S56" s="1" t="n">
        <f aca="false">EXP(R56/100)</f>
        <v>80.9355105623185</v>
      </c>
      <c r="T56" s="2"/>
      <c r="U56" s="2"/>
      <c r="V56" s="4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L56" s="2"/>
      <c r="AM56" s="5"/>
      <c r="AN56" s="2"/>
      <c r="AO56" s="2"/>
      <c r="AP56" s="2"/>
      <c r="AR56" s="2"/>
      <c r="AS56" s="2"/>
      <c r="AT56" s="2"/>
      <c r="AU56" s="2"/>
      <c r="AW56" s="2"/>
      <c r="AX56" s="2"/>
      <c r="AY56" s="2"/>
      <c r="AZ56" s="2"/>
      <c r="BB56" s="2"/>
      <c r="BC56" s="2"/>
      <c r="BD56" s="2"/>
      <c r="BE56" s="2"/>
    </row>
    <row r="57" customFormat="false" ht="12.8" hidden="false" customHeight="false" outlineLevel="0" collapsed="false">
      <c r="A57" s="2" t="n">
        <v>55</v>
      </c>
      <c r="B57" s="2" t="s">
        <v>61</v>
      </c>
      <c r="C57" s="2" t="n">
        <v>80.89</v>
      </c>
      <c r="D57" s="2" t="n">
        <f aca="false">100*LN(C57)</f>
        <v>439.309020702986</v>
      </c>
      <c r="E57" s="2" t="n">
        <f aca="false">E$2*COS((PI()*E$1*$A57)/6)</f>
        <v>0.139421429755257</v>
      </c>
      <c r="F57" s="2" t="n">
        <f aca="false">F$2*SIN((PI()*F$1*$A57)/6)</f>
        <v>0.0831380000000003</v>
      </c>
      <c r="G57" s="1" t="n">
        <f aca="false">G$2*COS((PI()*G$1*$A57)/6)</f>
        <v>0.144634499999999</v>
      </c>
      <c r="H57" s="1" t="n">
        <f aca="false">H$2*SIN((PI()*H$1*$A57)/6)</f>
        <v>-0.499983312392275</v>
      </c>
      <c r="I57" s="1" t="n">
        <f aca="false">I$2*COS((PI()*I$1*$A57)/6)</f>
        <v>-1.05471186435571E-015</v>
      </c>
      <c r="J57" s="1" t="n">
        <f aca="false">J$2*SIN((PI()*J$1*$A57)/6)</f>
        <v>0.033221</v>
      </c>
      <c r="K57" s="1" t="n">
        <f aca="false">K$2*COS((PI()*K$1*$A57)/6)</f>
        <v>-0.0292830000000004</v>
      </c>
      <c r="L57" s="1" t="n">
        <f aca="false">L$2*SIN((PI()*L$1*$A57)/6)</f>
        <v>-0.0149874356378934</v>
      </c>
      <c r="M57" s="1" t="n">
        <f aca="false">M$2*COS((PI()*M$1*$A57)/6)</f>
        <v>-0.00229496732002876</v>
      </c>
      <c r="N57" s="1" t="n">
        <f aca="false">N$2*SIN((PI()*N$1*$A57)/6)</f>
        <v>-0.00579200000000001</v>
      </c>
      <c r="O57" s="2" t="n">
        <f aca="false">O$2*(-1)^(A57)</f>
        <v>-0.114941</v>
      </c>
      <c r="P57" s="2" t="n">
        <f aca="false">100*LN(C57)</f>
        <v>439.309020702986</v>
      </c>
      <c r="Q57" s="2" t="n">
        <f aca="false">SUM(E57:O57)</f>
        <v>-0.266866785594943</v>
      </c>
      <c r="R57" s="2" t="n">
        <f aca="false">P57-Q57</f>
        <v>439.575887488581</v>
      </c>
      <c r="S57" s="1" t="n">
        <f aca="false">EXP(R57/100)</f>
        <v>81.1061568399879</v>
      </c>
      <c r="T57" s="2"/>
      <c r="U57" s="2"/>
      <c r="V57" s="4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L57" s="2"/>
      <c r="AM57" s="5"/>
      <c r="AN57" s="2"/>
      <c r="AO57" s="2"/>
      <c r="AP57" s="2"/>
      <c r="AR57" s="2"/>
      <c r="AS57" s="2"/>
      <c r="AT57" s="2"/>
      <c r="AU57" s="2"/>
      <c r="AW57" s="2"/>
      <c r="AX57" s="2"/>
      <c r="AY57" s="2"/>
      <c r="AZ57" s="2"/>
      <c r="BB57" s="2"/>
      <c r="BC57" s="2"/>
      <c r="BD57" s="2"/>
      <c r="BE57" s="2"/>
    </row>
    <row r="58" customFormat="false" ht="12.8" hidden="false" customHeight="false" outlineLevel="0" collapsed="false">
      <c r="A58" s="2" t="n">
        <v>56</v>
      </c>
      <c r="B58" s="2" t="s">
        <v>62</v>
      </c>
      <c r="C58" s="2" t="n">
        <v>81.055</v>
      </c>
      <c r="D58" s="2" t="n">
        <f aca="false">100*LN(C58)</f>
        <v>439.512793659354</v>
      </c>
      <c r="E58" s="2" t="n">
        <f aca="false">E$2*COS((PI()*E$1*$A58)/6)</f>
        <v>0.0804950000000003</v>
      </c>
      <c r="F58" s="2" t="n">
        <f aca="false">F$2*SIN((PI()*F$1*$A58)/6)</f>
        <v>0.143999240039661</v>
      </c>
      <c r="G58" s="1" t="n">
        <f aca="false">G$2*COS((PI()*G$1*$A58)/6)</f>
        <v>-0.144634499999999</v>
      </c>
      <c r="H58" s="1" t="n">
        <f aca="false">H$2*SIN((PI()*H$1*$A58)/6)</f>
        <v>-0.499983312392275</v>
      </c>
      <c r="I58" s="1" t="n">
        <f aca="false">I$2*COS((PI()*I$1*$A58)/6)</f>
        <v>0.086102</v>
      </c>
      <c r="J58" s="1" t="n">
        <f aca="false">J$2*SIN((PI()*J$1*$A58)/6)</f>
        <v>1.13915175680528E-016</v>
      </c>
      <c r="K58" s="1" t="n">
        <f aca="false">K$2*COS((PI()*K$1*$A58)/6)</f>
        <v>-0.0292830000000005</v>
      </c>
      <c r="L58" s="1" t="n">
        <f aca="false">L$2*SIN((PI()*L$1*$A58)/6)</f>
        <v>0.0149874356378934</v>
      </c>
      <c r="M58" s="1" t="n">
        <f aca="false">M$2*COS((PI()*M$1*$A58)/6)</f>
        <v>0.001325</v>
      </c>
      <c r="N58" s="1" t="n">
        <f aca="false">N$2*SIN((PI()*N$1*$A58)/6)</f>
        <v>0.0100320382774389</v>
      </c>
      <c r="O58" s="2" t="n">
        <f aca="false">O$2*(-1)^(A58)</f>
        <v>0.114941</v>
      </c>
      <c r="P58" s="2" t="n">
        <f aca="false">100*LN(C58)</f>
        <v>439.512793659354</v>
      </c>
      <c r="Q58" s="2" t="n">
        <f aca="false">SUM(E58:O58)</f>
        <v>-0.222019098437281</v>
      </c>
      <c r="R58" s="2" t="n">
        <f aca="false">P58-Q58</f>
        <v>439.734812757791</v>
      </c>
      <c r="S58" s="1" t="n">
        <f aca="false">EXP(R58/100)</f>
        <v>81.2351574982616</v>
      </c>
      <c r="T58" s="2"/>
      <c r="U58" s="2"/>
      <c r="V58" s="4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L58" s="2"/>
      <c r="AM58" s="5"/>
      <c r="AN58" s="2"/>
      <c r="AO58" s="2"/>
      <c r="AP58" s="2"/>
      <c r="AR58" s="2"/>
      <c r="AS58" s="2"/>
      <c r="AT58" s="2"/>
      <c r="AU58" s="2"/>
      <c r="AW58" s="2"/>
      <c r="AX58" s="2"/>
      <c r="AY58" s="2"/>
      <c r="AZ58" s="2"/>
      <c r="BB58" s="2"/>
      <c r="BC58" s="2"/>
      <c r="BD58" s="2"/>
      <c r="BE58" s="2"/>
    </row>
    <row r="59" customFormat="false" ht="12.8" hidden="false" customHeight="false" outlineLevel="0" collapsed="false">
      <c r="A59" s="2" t="n">
        <v>57</v>
      </c>
      <c r="B59" s="2" t="s">
        <v>63</v>
      </c>
      <c r="C59" s="2" t="n">
        <v>80.922</v>
      </c>
      <c r="D59" s="2" t="n">
        <f aca="false">100*LN(C59)</f>
        <v>439.348572776278</v>
      </c>
      <c r="E59" s="2" t="n">
        <f aca="false">E$2*COS((PI()*E$1*$A59)/6)</f>
        <v>4.73273781360042E-016</v>
      </c>
      <c r="F59" s="2" t="n">
        <f aca="false">F$2*SIN((PI()*F$1*$A59)/6)</f>
        <v>0.166276</v>
      </c>
      <c r="G59" s="1" t="n">
        <f aca="false">G$2*COS((PI()*G$1*$A59)/6)</f>
        <v>-0.289269</v>
      </c>
      <c r="H59" s="1" t="n">
        <f aca="false">H$2*SIN((PI()*H$1*$A59)/6)</f>
        <v>-3.3944422071728E-015</v>
      </c>
      <c r="I59" s="1" t="n">
        <f aca="false">I$2*COS((PI()*I$1*$A59)/6)</f>
        <v>7.5936056505365E-016</v>
      </c>
      <c r="J59" s="1" t="n">
        <f aca="false">J$2*SIN((PI()*J$1*$A59)/6)</f>
        <v>-0.033221</v>
      </c>
      <c r="K59" s="1" t="n">
        <f aca="false">K$2*COS((PI()*K$1*$A59)/6)</f>
        <v>0.058566</v>
      </c>
      <c r="L59" s="1" t="n">
        <f aca="false">L$2*SIN((PI()*L$1*$A59)/6)</f>
        <v>2.0350272837361E-016</v>
      </c>
      <c r="M59" s="1" t="n">
        <f aca="false">M$2*COS((PI()*M$1*$A59)/6)</f>
        <v>1.29320471103532E-018</v>
      </c>
      <c r="N59" s="1" t="n">
        <f aca="false">N$2*SIN((PI()*N$1*$A59)/6)</f>
        <v>-0.011584</v>
      </c>
      <c r="O59" s="2" t="n">
        <f aca="false">O$2*(-1)^(A59)</f>
        <v>-0.114941</v>
      </c>
      <c r="P59" s="2" t="n">
        <f aca="false">100*LN(C59)</f>
        <v>439.348572776278</v>
      </c>
      <c r="Q59" s="2" t="n">
        <f aca="false">SUM(E59:O59)</f>
        <v>-0.224173000000002</v>
      </c>
      <c r="R59" s="2" t="n">
        <f aca="false">P59-Q59</f>
        <v>439.572745776278</v>
      </c>
      <c r="S59" s="1" t="n">
        <f aca="false">EXP(R59/100)</f>
        <v>81.1036087579064</v>
      </c>
      <c r="T59" s="2"/>
      <c r="U59" s="2"/>
      <c r="V59" s="4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L59" s="2"/>
      <c r="AM59" s="5"/>
      <c r="AN59" s="2"/>
      <c r="AO59" s="2"/>
      <c r="AP59" s="2"/>
      <c r="AR59" s="2"/>
      <c r="AS59" s="2"/>
      <c r="AT59" s="2"/>
      <c r="AU59" s="2"/>
      <c r="AW59" s="2"/>
      <c r="AX59" s="2"/>
      <c r="AY59" s="2"/>
      <c r="AZ59" s="2"/>
      <c r="BB59" s="2"/>
      <c r="BC59" s="2"/>
      <c r="BD59" s="2"/>
      <c r="BE59" s="2"/>
    </row>
    <row r="60" customFormat="false" ht="12.8" hidden="false" customHeight="false" outlineLevel="0" collapsed="false">
      <c r="A60" s="2" t="n">
        <v>58</v>
      </c>
      <c r="B60" s="2" t="s">
        <v>64</v>
      </c>
      <c r="C60" s="2" t="n">
        <v>81.254</v>
      </c>
      <c r="D60" s="2" t="n">
        <f aca="false">100*LN(C60)</f>
        <v>439.758005076728</v>
      </c>
      <c r="E60" s="2" t="n">
        <f aca="false">E$2*COS((PI()*E$1*$A60)/6)</f>
        <v>-0.080495</v>
      </c>
      <c r="F60" s="2" t="n">
        <f aca="false">F$2*SIN((PI()*F$1*$A60)/6)</f>
        <v>0.143999240039661</v>
      </c>
      <c r="G60" s="1" t="n">
        <f aca="false">G$2*COS((PI()*G$1*$A60)/6)</f>
        <v>-0.1446345</v>
      </c>
      <c r="H60" s="1" t="n">
        <f aca="false">H$2*SIN((PI()*H$1*$A60)/6)</f>
        <v>0.499983312392274</v>
      </c>
      <c r="I60" s="1" t="n">
        <f aca="false">I$2*COS((PI()*I$1*$A60)/6)</f>
        <v>-0.086102</v>
      </c>
      <c r="J60" s="1" t="n">
        <f aca="false">J$2*SIN((PI()*J$1*$A60)/6)</f>
        <v>-4.7205767818227E-016</v>
      </c>
      <c r="K60" s="1" t="n">
        <f aca="false">K$2*COS((PI()*K$1*$A60)/6)</f>
        <v>-0.029283</v>
      </c>
      <c r="L60" s="1" t="n">
        <f aca="false">L$2*SIN((PI()*L$1*$A60)/6)</f>
        <v>-0.0149874356378935</v>
      </c>
      <c r="M60" s="1" t="n">
        <f aca="false">M$2*COS((PI()*M$1*$A60)/6)</f>
        <v>-0.001325</v>
      </c>
      <c r="N60" s="1" t="n">
        <f aca="false">N$2*SIN((PI()*N$1*$A60)/6)</f>
        <v>0.0100320382774389</v>
      </c>
      <c r="O60" s="2" t="n">
        <f aca="false">O$2*(-1)^(A60)</f>
        <v>0.114941</v>
      </c>
      <c r="P60" s="2" t="n">
        <f aca="false">100*LN(C60)</f>
        <v>439.758005076728</v>
      </c>
      <c r="Q60" s="2" t="n">
        <f aca="false">SUM(E60:O60)</f>
        <v>0.41212865507148</v>
      </c>
      <c r="R60" s="2" t="n">
        <f aca="false">P60-Q60</f>
        <v>439.345876421657</v>
      </c>
      <c r="S60" s="1" t="n">
        <f aca="false">EXP(R60/100)</f>
        <v>80.9198180853301</v>
      </c>
      <c r="T60" s="2"/>
      <c r="U60" s="2"/>
      <c r="V60" s="4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L60" s="2"/>
      <c r="AM60" s="5"/>
      <c r="AN60" s="2"/>
      <c r="AO60" s="2"/>
      <c r="AP60" s="2"/>
      <c r="AR60" s="2"/>
      <c r="AS60" s="2"/>
      <c r="AT60" s="2"/>
      <c r="AU60" s="2"/>
      <c r="AW60" s="2"/>
      <c r="AX60" s="2"/>
      <c r="AY60" s="2"/>
      <c r="AZ60" s="2"/>
      <c r="BB60" s="2"/>
      <c r="BC60" s="2"/>
      <c r="BD60" s="2"/>
      <c r="BE60" s="2"/>
    </row>
    <row r="61" customFormat="false" ht="12.8" hidden="false" customHeight="false" outlineLevel="0" collapsed="false">
      <c r="A61" s="2" t="n">
        <v>59</v>
      </c>
      <c r="B61" s="2" t="s">
        <v>65</v>
      </c>
      <c r="C61" s="2" t="n">
        <v>81.455</v>
      </c>
      <c r="D61" s="2" t="n">
        <f aca="false">100*LN(C61)</f>
        <v>440.005072051813</v>
      </c>
      <c r="E61" s="2" t="n">
        <f aca="false">E$2*COS((PI()*E$1*$A61)/6)</f>
        <v>-0.139421429755257</v>
      </c>
      <c r="F61" s="2" t="n">
        <f aca="false">F$2*SIN((PI()*F$1*$A61)/6)</f>
        <v>0.0831380000000001</v>
      </c>
      <c r="G61" s="1" t="n">
        <f aca="false">G$2*COS((PI()*G$1*$A61)/6)</f>
        <v>0.1446345</v>
      </c>
      <c r="H61" s="1" t="n">
        <f aca="false">H$2*SIN((PI()*H$1*$A61)/6)</f>
        <v>0.499983312392274</v>
      </c>
      <c r="I61" s="1" t="n">
        <f aca="false">I$2*COS((PI()*I$1*$A61)/6)</f>
        <v>7.59573746936736E-016</v>
      </c>
      <c r="J61" s="1" t="n">
        <f aca="false">J$2*SIN((PI()*J$1*$A61)/6)</f>
        <v>0.033221</v>
      </c>
      <c r="K61" s="1" t="n">
        <f aca="false">K$2*COS((PI()*K$1*$A61)/6)</f>
        <v>-0.0292830000000001</v>
      </c>
      <c r="L61" s="1" t="n">
        <f aca="false">L$2*SIN((PI()*L$1*$A61)/6)</f>
        <v>0.0149874356378935</v>
      </c>
      <c r="M61" s="1" t="n">
        <f aca="false">M$2*COS((PI()*M$1*$A61)/6)</f>
        <v>0.00229496732002876</v>
      </c>
      <c r="N61" s="1" t="n">
        <f aca="false">N$2*SIN((PI()*N$1*$A61)/6)</f>
        <v>-0.00579200000000001</v>
      </c>
      <c r="O61" s="2" t="n">
        <f aca="false">O$2*(-1)^(A61)</f>
        <v>-0.114941</v>
      </c>
      <c r="P61" s="2" t="n">
        <f aca="false">100*LN(C61)</f>
        <v>440.005072051813</v>
      </c>
      <c r="Q61" s="2" t="n">
        <f aca="false">SUM(E61:O61)</f>
        <v>0.48882178559494</v>
      </c>
      <c r="R61" s="2" t="n">
        <f aca="false">P61-Q61</f>
        <v>439.516250266218</v>
      </c>
      <c r="S61" s="1" t="n">
        <f aca="false">EXP(R61/100)</f>
        <v>81.0578018011175</v>
      </c>
      <c r="T61" s="2"/>
      <c r="U61" s="2"/>
      <c r="V61" s="4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L61" s="2"/>
      <c r="AM61" s="5"/>
      <c r="AN61" s="2"/>
      <c r="AO61" s="2"/>
      <c r="AP61" s="2"/>
      <c r="AR61" s="2"/>
      <c r="AS61" s="2"/>
      <c r="AT61" s="2"/>
      <c r="AU61" s="2"/>
      <c r="AW61" s="2"/>
      <c r="AX61" s="2"/>
      <c r="AY61" s="2"/>
      <c r="AZ61" s="2"/>
      <c r="BB61" s="2"/>
      <c r="BC61" s="2"/>
      <c r="BD61" s="2"/>
      <c r="BE61" s="2"/>
    </row>
    <row r="62" customFormat="false" ht="12.8" hidden="false" customHeight="false" outlineLevel="0" collapsed="false">
      <c r="A62" s="2" t="n">
        <v>60</v>
      </c>
      <c r="B62" s="2" t="s">
        <v>66</v>
      </c>
      <c r="C62" s="2" t="n">
        <v>81.678</v>
      </c>
      <c r="D62" s="2" t="n">
        <f aca="false">100*LN(C62)</f>
        <v>440.278468775839</v>
      </c>
      <c r="E62" s="2" t="n">
        <f aca="false">E$2*COS((PI()*E$1*$A62)/6)</f>
        <v>-0.16099</v>
      </c>
      <c r="F62" s="2" t="n">
        <f aca="false">F$2*SIN((PI()*F$1*$A62)/6)</f>
        <v>7.94360390831257E-016</v>
      </c>
      <c r="G62" s="1" t="n">
        <f aca="false">G$2*COS((PI()*G$1*$A62)/6)</f>
        <v>0.289269</v>
      </c>
      <c r="H62" s="1" t="n">
        <f aca="false">H$2*SIN((PI()*H$1*$A62)/6)</f>
        <v>5.51623660418823E-015</v>
      </c>
      <c r="I62" s="1" t="n">
        <f aca="false">I$2*COS((PI()*I$1*$A62)/6)</f>
        <v>0.086102</v>
      </c>
      <c r="J62" s="1" t="n">
        <f aca="false">J$2*SIN((PI()*J$1*$A62)/6)</f>
        <v>-1.1399742830344E-016</v>
      </c>
      <c r="K62" s="1" t="n">
        <f aca="false">K$2*COS((PI()*K$1*$A62)/6)</f>
        <v>0.058566</v>
      </c>
      <c r="L62" s="1" t="n">
        <f aca="false">L$2*SIN((PI()*L$1*$A62)/6)</f>
        <v>3.30708001725462E-016</v>
      </c>
      <c r="M62" s="1" t="n">
        <f aca="false">M$2*COS((PI()*M$1*$A62)/6)</f>
        <v>-0.00265</v>
      </c>
      <c r="N62" s="1" t="n">
        <f aca="false">N$2*SIN((PI()*N$1*$A62)/6)</f>
        <v>1.13777279038353E-017</v>
      </c>
      <c r="O62" s="2" t="n">
        <f aca="false">O$2*(-1)^(A62)</f>
        <v>0.114941</v>
      </c>
      <c r="P62" s="2" t="n">
        <f aca="false">100*LN(C62)</f>
        <v>440.278468775839</v>
      </c>
      <c r="Q62" s="2" t="n">
        <f aca="false">SUM(E62:O62)</f>
        <v>0.385238000000007</v>
      </c>
      <c r="R62" s="2" t="n">
        <f aca="false">P62-Q62</f>
        <v>439.893230775839</v>
      </c>
      <c r="S62" s="1" t="n">
        <f aca="false">EXP(R62/100)</f>
        <v>81.3639506135437</v>
      </c>
      <c r="T62" s="2"/>
      <c r="U62" s="2"/>
      <c r="V62" s="4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L62" s="2"/>
      <c r="AM62" s="5"/>
      <c r="AN62" s="2"/>
      <c r="AO62" s="2"/>
      <c r="AP62" s="2"/>
      <c r="AR62" s="2"/>
      <c r="AS62" s="2"/>
      <c r="AT62" s="2"/>
      <c r="AU62" s="2"/>
      <c r="AW62" s="2"/>
      <c r="AX62" s="2"/>
      <c r="AY62" s="2"/>
      <c r="AZ62" s="2"/>
      <c r="BB62" s="2"/>
      <c r="BC62" s="2"/>
      <c r="BD62" s="2"/>
      <c r="BE62" s="2"/>
    </row>
    <row r="63" customFormat="false" ht="12.8" hidden="false" customHeight="false" outlineLevel="0" collapsed="false">
      <c r="A63" s="2" t="n">
        <v>61</v>
      </c>
      <c r="B63" s="2" t="s">
        <v>67</v>
      </c>
      <c r="C63" s="2" t="n">
        <v>81.129</v>
      </c>
      <c r="D63" s="2" t="n">
        <f aca="false">100*LN(C63)</f>
        <v>439.60404804343</v>
      </c>
      <c r="E63" s="2" t="n">
        <f aca="false">E$2*COS((PI()*E$1*$A63)/6)</f>
        <v>-0.139421429755257</v>
      </c>
      <c r="F63" s="2" t="n">
        <f aca="false">F$2*SIN((PI()*F$1*$A63)/6)</f>
        <v>-0.0831379999999997</v>
      </c>
      <c r="G63" s="1" t="n">
        <f aca="false">G$2*COS((PI()*G$1*$A63)/6)</f>
        <v>0.144634500000001</v>
      </c>
      <c r="H63" s="1" t="n">
        <f aca="false">H$2*SIN((PI()*H$1*$A63)/6)</f>
        <v>-0.499983312392273</v>
      </c>
      <c r="I63" s="1" t="n">
        <f aca="false">I$2*COS((PI()*I$1*$A63)/6)</f>
        <v>1.68657966449525E-016</v>
      </c>
      <c r="J63" s="1" t="n">
        <f aca="false">J$2*SIN((PI()*J$1*$A63)/6)</f>
        <v>-0.033221</v>
      </c>
      <c r="K63" s="1" t="n">
        <f aca="false">K$2*COS((PI()*K$1*$A63)/6)</f>
        <v>-0.0292829999999996</v>
      </c>
      <c r="L63" s="1" t="n">
        <f aca="false">L$2*SIN((PI()*L$1*$A63)/6)</f>
        <v>-0.0149874356378936</v>
      </c>
      <c r="M63" s="1" t="n">
        <f aca="false">M$2*COS((PI()*M$1*$A63)/6)</f>
        <v>0.00229496732002876</v>
      </c>
      <c r="N63" s="1" t="n">
        <f aca="false">N$2*SIN((PI()*N$1*$A63)/6)</f>
        <v>0.00579199999999999</v>
      </c>
      <c r="O63" s="2" t="n">
        <f aca="false">O$2*(-1)^(A63)</f>
        <v>-0.114941</v>
      </c>
      <c r="P63" s="2" t="n">
        <f aca="false">100*LN(C63)</f>
        <v>439.60404804343</v>
      </c>
      <c r="Q63" s="2" t="n">
        <f aca="false">SUM(E63:O63)</f>
        <v>-0.762253710465393</v>
      </c>
      <c r="R63" s="2" t="n">
        <f aca="false">P63-Q63</f>
        <v>440.366301753895</v>
      </c>
      <c r="S63" s="1" t="n">
        <f aca="false">EXP(R63/100)</f>
        <v>81.7497717348289</v>
      </c>
      <c r="T63" s="2"/>
      <c r="U63" s="2"/>
      <c r="V63" s="4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L63" s="2"/>
      <c r="AM63" s="5"/>
      <c r="AN63" s="2"/>
      <c r="AO63" s="2"/>
      <c r="AP63" s="2"/>
      <c r="AR63" s="2"/>
      <c r="AS63" s="2"/>
      <c r="AT63" s="2"/>
      <c r="AU63" s="2"/>
      <c r="AW63" s="2"/>
      <c r="AX63" s="2"/>
      <c r="AY63" s="2"/>
      <c r="AZ63" s="2"/>
      <c r="BB63" s="2"/>
      <c r="BC63" s="2"/>
      <c r="BD63" s="2"/>
      <c r="BE63" s="2"/>
    </row>
    <row r="64" customFormat="false" ht="12.8" hidden="false" customHeight="false" outlineLevel="0" collapsed="false">
      <c r="A64" s="2" t="n">
        <v>62</v>
      </c>
      <c r="B64" s="2" t="s">
        <v>68</v>
      </c>
      <c r="C64" s="2" t="n">
        <v>81.184</v>
      </c>
      <c r="D64" s="2" t="n">
        <f aca="false">100*LN(C64)</f>
        <v>439.671818341687</v>
      </c>
      <c r="E64" s="2" t="n">
        <f aca="false">E$2*COS((PI()*E$1*$A64)/6)</f>
        <v>-0.0804950000000003</v>
      </c>
      <c r="F64" s="2" t="n">
        <f aca="false">F$2*SIN((PI()*F$1*$A64)/6)</f>
        <v>-0.143999240039661</v>
      </c>
      <c r="G64" s="1" t="n">
        <f aca="false">G$2*COS((PI()*G$1*$A64)/6)</f>
        <v>-0.144634499999999</v>
      </c>
      <c r="H64" s="1" t="n">
        <f aca="false">H$2*SIN((PI()*H$1*$A64)/6)</f>
        <v>-0.499983312392275</v>
      </c>
      <c r="I64" s="1" t="n">
        <f aca="false">I$2*COS((PI()*I$1*$A64)/6)</f>
        <v>-0.086102</v>
      </c>
      <c r="J64" s="1" t="n">
        <f aca="false">J$2*SIN((PI()*J$1*$A64)/6)</f>
        <v>-2.44145074198302E-016</v>
      </c>
      <c r="K64" s="1" t="n">
        <f aca="false">K$2*COS((PI()*K$1*$A64)/6)</f>
        <v>-0.0292830000000005</v>
      </c>
      <c r="L64" s="1" t="n">
        <f aca="false">L$2*SIN((PI()*L$1*$A64)/6)</f>
        <v>0.0149874356378934</v>
      </c>
      <c r="M64" s="1" t="n">
        <f aca="false">M$2*COS((PI()*M$1*$A64)/6)</f>
        <v>-0.001325</v>
      </c>
      <c r="N64" s="1" t="n">
        <f aca="false">N$2*SIN((PI()*N$1*$A64)/6)</f>
        <v>-0.0100320382774389</v>
      </c>
      <c r="O64" s="2" t="n">
        <f aca="false">O$2*(-1)^(A64)</f>
        <v>0.114941</v>
      </c>
      <c r="P64" s="2" t="n">
        <f aca="false">100*LN(C64)</f>
        <v>439.671818341687</v>
      </c>
      <c r="Q64" s="2" t="n">
        <f aca="false">SUM(E64:O64)</f>
        <v>-0.865925655071482</v>
      </c>
      <c r="R64" s="2" t="n">
        <f aca="false">P64-Q64</f>
        <v>440.537743996759</v>
      </c>
      <c r="S64" s="1" t="n">
        <f aca="false">EXP(R64/100)</f>
        <v>81.8900455869874</v>
      </c>
      <c r="T64" s="2"/>
      <c r="U64" s="2"/>
      <c r="V64" s="4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L64" s="2"/>
      <c r="AM64" s="5"/>
      <c r="AN64" s="2"/>
      <c r="AO64" s="2"/>
      <c r="AP64" s="2"/>
      <c r="AR64" s="2"/>
      <c r="AS64" s="2"/>
      <c r="AT64" s="2"/>
      <c r="AU64" s="2"/>
      <c r="AW64" s="2"/>
      <c r="AX64" s="2"/>
      <c r="AY64" s="2"/>
      <c r="AZ64" s="2"/>
      <c r="BB64" s="2"/>
      <c r="BC64" s="2"/>
      <c r="BD64" s="2"/>
      <c r="BE64" s="2"/>
    </row>
    <row r="65" customFormat="false" ht="12.8" hidden="false" customHeight="false" outlineLevel="0" collapsed="false">
      <c r="A65" s="2" t="n">
        <v>63</v>
      </c>
      <c r="B65" s="2" t="s">
        <v>69</v>
      </c>
      <c r="C65" s="2" t="n">
        <v>81.8</v>
      </c>
      <c r="D65" s="2" t="n">
        <f aca="false">100*LN(C65)</f>
        <v>440.42772436087</v>
      </c>
      <c r="E65" s="2" t="n">
        <f aca="false">E$2*COS((PI()*E$1*$A65)/6)</f>
        <v>7.89620049705773E-017</v>
      </c>
      <c r="F65" s="2" t="n">
        <f aca="false">F$2*SIN((PI()*F$1*$A65)/6)</f>
        <v>-0.166276</v>
      </c>
      <c r="G65" s="1" t="n">
        <f aca="false">G$2*COS((PI()*G$1*$A65)/6)</f>
        <v>-0.289269</v>
      </c>
      <c r="H65" s="1" t="n">
        <f aca="false">H$2*SIN((PI()*H$1*$A65)/6)</f>
        <v>5.66335962378637E-016</v>
      </c>
      <c r="I65" s="1" t="n">
        <f aca="false">I$2*COS((PI()*I$1*$A65)/6)</f>
        <v>1.26693332852537E-016</v>
      </c>
      <c r="J65" s="1" t="n">
        <f aca="false">J$2*SIN((PI()*J$1*$A65)/6)</f>
        <v>0.033221</v>
      </c>
      <c r="K65" s="1" t="n">
        <f aca="false">K$2*COS((PI()*K$1*$A65)/6)</f>
        <v>0.058566</v>
      </c>
      <c r="L65" s="1" t="n">
        <f aca="false">L$2*SIN((PI()*L$1*$A65)/6)</f>
        <v>-3.39528283252577E-017</v>
      </c>
      <c r="M65" s="1" t="n">
        <f aca="false">M$2*COS((PI()*M$1*$A65)/6)</f>
        <v>6.49882952891577E-018</v>
      </c>
      <c r="N65" s="1" t="n">
        <f aca="false">N$2*SIN((PI()*N$1*$A65)/6)</f>
        <v>0.011584</v>
      </c>
      <c r="O65" s="2" t="n">
        <f aca="false">O$2*(-1)^(A65)</f>
        <v>-0.114941</v>
      </c>
      <c r="P65" s="2" t="n">
        <f aca="false">100*LN(C65)</f>
        <v>440.42772436087</v>
      </c>
      <c r="Q65" s="2" t="n">
        <f aca="false">SUM(E65:O65)</f>
        <v>-0.467114999999999</v>
      </c>
      <c r="R65" s="2" t="n">
        <f aca="false">P65-Q65</f>
        <v>440.89483936087</v>
      </c>
      <c r="S65" s="1" t="n">
        <f aca="false">EXP(R65/100)</f>
        <v>82.182993884543</v>
      </c>
      <c r="T65" s="2"/>
      <c r="U65" s="2"/>
      <c r="V65" s="4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L65" s="2"/>
      <c r="AM65" s="5"/>
      <c r="AN65" s="2"/>
      <c r="AO65" s="2"/>
      <c r="AP65" s="2"/>
      <c r="AR65" s="2"/>
      <c r="AS65" s="2"/>
      <c r="AT65" s="2"/>
      <c r="AU65" s="2"/>
      <c r="AW65" s="2"/>
      <c r="AX65" s="2"/>
      <c r="AY65" s="2"/>
      <c r="AZ65" s="2"/>
      <c r="BB65" s="2"/>
      <c r="BC65" s="2"/>
      <c r="BD65" s="2"/>
      <c r="BE65" s="2"/>
    </row>
    <row r="66" customFormat="false" ht="12.8" hidden="false" customHeight="false" outlineLevel="0" collapsed="false">
      <c r="A66" s="2" t="n">
        <v>64</v>
      </c>
      <c r="B66" s="2" t="s">
        <v>70</v>
      </c>
      <c r="C66" s="2" t="n">
        <v>82.93</v>
      </c>
      <c r="D66" s="2" t="n">
        <f aca="false">100*LN(C66)</f>
        <v>441.799687846311</v>
      </c>
      <c r="E66" s="2" t="n">
        <f aca="false">E$2*COS((PI()*E$1*$A66)/6)</f>
        <v>0.0804949999999995</v>
      </c>
      <c r="F66" s="2" t="n">
        <f aca="false">F$2*SIN((PI()*F$1*$A66)/6)</f>
        <v>-0.143999240039662</v>
      </c>
      <c r="G66" s="1" t="n">
        <f aca="false">G$2*COS((PI()*G$1*$A66)/6)</f>
        <v>-0.144634500000002</v>
      </c>
      <c r="H66" s="1" t="n">
        <f aca="false">H$2*SIN((PI()*H$1*$A66)/6)</f>
        <v>0.499983312392272</v>
      </c>
      <c r="I66" s="1" t="n">
        <f aca="false">I$2*COS((PI()*I$1*$A66)/6)</f>
        <v>0.086102</v>
      </c>
      <c r="J66" s="1" t="n">
        <f aca="false">J$2*SIN((PI()*J$1*$A66)/6)</f>
        <v>1.30188772206318E-016</v>
      </c>
      <c r="K66" s="1" t="n">
        <f aca="false">K$2*COS((PI()*K$1*$A66)/6)</f>
        <v>-0.0292829999999993</v>
      </c>
      <c r="L66" s="1" t="n">
        <f aca="false">L$2*SIN((PI()*L$1*$A66)/6)</f>
        <v>-0.0149874356378936</v>
      </c>
      <c r="M66" s="1" t="n">
        <f aca="false">M$2*COS((PI()*M$1*$A66)/6)</f>
        <v>0.00132499999999999</v>
      </c>
      <c r="N66" s="1" t="n">
        <f aca="false">N$2*SIN((PI()*N$1*$A66)/6)</f>
        <v>-0.010032038277439</v>
      </c>
      <c r="O66" s="2" t="n">
        <f aca="false">O$2*(-1)^(A66)</f>
        <v>0.114941</v>
      </c>
      <c r="P66" s="2" t="n">
        <f aca="false">100*LN(C66)</f>
        <v>441.799687846311</v>
      </c>
      <c r="Q66" s="2" t="n">
        <f aca="false">SUM(E66:O66)</f>
        <v>0.439910098437276</v>
      </c>
      <c r="R66" s="2" t="n">
        <f aca="false">P66-Q66</f>
        <v>441.359777747874</v>
      </c>
      <c r="S66" s="1" t="n">
        <f aca="false">EXP(R66/100)</f>
        <v>82.5659838143855</v>
      </c>
      <c r="T66" s="2"/>
      <c r="U66" s="2"/>
      <c r="V66" s="4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L66" s="2"/>
      <c r="AM66" s="5"/>
      <c r="AN66" s="2"/>
      <c r="AO66" s="2"/>
      <c r="AP66" s="2"/>
      <c r="AR66" s="2"/>
      <c r="AS66" s="2"/>
      <c r="AT66" s="2"/>
      <c r="AU66" s="2"/>
      <c r="AW66" s="2"/>
      <c r="AX66" s="2"/>
      <c r="AY66" s="2"/>
      <c r="AZ66" s="2"/>
      <c r="BB66" s="2"/>
      <c r="BC66" s="2"/>
      <c r="BD66" s="2"/>
      <c r="BE66" s="2"/>
    </row>
    <row r="67" customFormat="false" ht="12.8" hidden="false" customHeight="false" outlineLevel="0" collapsed="false">
      <c r="A67" s="2" t="n">
        <v>65</v>
      </c>
      <c r="B67" s="2" t="s">
        <v>71</v>
      </c>
      <c r="C67" s="2" t="n">
        <v>83.158</v>
      </c>
      <c r="D67" s="2" t="n">
        <f aca="false">100*LN(C67)</f>
        <v>442.074241267656</v>
      </c>
      <c r="E67" s="2" t="n">
        <f aca="false">E$2*COS((PI()*E$1*$A67)/6)</f>
        <v>0.139421429755257</v>
      </c>
      <c r="F67" s="2" t="n">
        <f aca="false">F$2*SIN((PI()*F$1*$A67)/6)</f>
        <v>-0.0831380000000001</v>
      </c>
      <c r="G67" s="1" t="n">
        <f aca="false">G$2*COS((PI()*G$1*$A67)/6)</f>
        <v>0.1446345</v>
      </c>
      <c r="H67" s="1" t="n">
        <f aca="false">H$2*SIN((PI()*H$1*$A67)/6)</f>
        <v>0.499983312392274</v>
      </c>
      <c r="I67" s="1" t="n">
        <f aca="false">I$2*COS((PI()*I$1*$A67)/6)</f>
        <v>8.01538380533724E-016</v>
      </c>
      <c r="J67" s="1" t="n">
        <f aca="false">J$2*SIN((PI()*J$1*$A67)/6)</f>
        <v>-0.033221</v>
      </c>
      <c r="K67" s="1" t="n">
        <f aca="false">K$2*COS((PI()*K$1*$A67)/6)</f>
        <v>-0.0292830000000002</v>
      </c>
      <c r="L67" s="1" t="n">
        <f aca="false">L$2*SIN((PI()*L$1*$A67)/6)</f>
        <v>0.0149874356378935</v>
      </c>
      <c r="M67" s="1" t="n">
        <f aca="false">M$2*COS((PI()*M$1*$A67)/6)</f>
        <v>-0.0022949673200288</v>
      </c>
      <c r="N67" s="1" t="n">
        <f aca="false">N$2*SIN((PI()*N$1*$A67)/6)</f>
        <v>0.00579199999999975</v>
      </c>
      <c r="O67" s="2" t="n">
        <f aca="false">O$2*(-1)^(A67)</f>
        <v>-0.114941</v>
      </c>
      <c r="P67" s="2" t="n">
        <f aca="false">100*LN(C67)</f>
        <v>442.074241267656</v>
      </c>
      <c r="Q67" s="2" t="n">
        <f aca="false">SUM(E67:O67)</f>
        <v>0.541940710465396</v>
      </c>
      <c r="R67" s="2" t="n">
        <f aca="false">P67-Q67</f>
        <v>441.53230055719</v>
      </c>
      <c r="S67" s="1" t="n">
        <f aca="false">EXP(R67/100)</f>
        <v>82.7085519150861</v>
      </c>
      <c r="T67" s="2"/>
      <c r="U67" s="2"/>
      <c r="V67" s="4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L67" s="2"/>
      <c r="AM67" s="5"/>
      <c r="AN67" s="2"/>
      <c r="AO67" s="2"/>
      <c r="AP67" s="2"/>
      <c r="AR67" s="2"/>
      <c r="AS67" s="2"/>
      <c r="AT67" s="2"/>
      <c r="AU67" s="2"/>
      <c r="AW67" s="2"/>
      <c r="AX67" s="2"/>
      <c r="AY67" s="2"/>
      <c r="AZ67" s="2"/>
      <c r="BB67" s="2"/>
      <c r="BC67" s="2"/>
      <c r="BD67" s="2"/>
      <c r="BE67" s="2"/>
    </row>
    <row r="68" customFormat="false" ht="12.8" hidden="false" customHeight="false" outlineLevel="0" collapsed="false">
      <c r="A68" s="2" t="n">
        <v>66</v>
      </c>
      <c r="B68" s="2" t="s">
        <v>72</v>
      </c>
      <c r="C68" s="2" t="n">
        <v>83.311</v>
      </c>
      <c r="D68" s="2" t="n">
        <f aca="false">100*LN(C68)</f>
        <v>442.258059327572</v>
      </c>
      <c r="E68" s="2" t="n">
        <f aca="false">E$2*COS((PI()*E$1*$A68)/6)</f>
        <v>0.16099</v>
      </c>
      <c r="F68" s="2" t="n">
        <f aca="false">F$2*SIN((PI()*F$1*$A68)/6)</f>
        <v>3.66738711363704E-016</v>
      </c>
      <c r="G68" s="1" t="n">
        <f aca="false">G$2*COS((PI()*G$1*$A68)/6)</f>
        <v>0.289269</v>
      </c>
      <c r="H68" s="1" t="n">
        <f aca="false">H$2*SIN((PI()*H$1*$A68)/6)</f>
        <v>-2.54672504715435E-015</v>
      </c>
      <c r="I68" s="1" t="n">
        <f aca="false">I$2*COS((PI()*I$1*$A68)/6)</f>
        <v>-0.086102</v>
      </c>
      <c r="J68" s="1" t="n">
        <f aca="false">J$2*SIN((PI()*J$1*$A68)/6)</f>
        <v>-1.62324702143335E-017</v>
      </c>
      <c r="K68" s="1" t="n">
        <f aca="false">K$2*COS((PI()*K$1*$A68)/6)</f>
        <v>0.058566</v>
      </c>
      <c r="L68" s="1" t="n">
        <f aca="false">L$2*SIN((PI()*L$1*$A68)/6)</f>
        <v>-1.52680606674692E-016</v>
      </c>
      <c r="M68" s="1" t="n">
        <f aca="false">M$2*COS((PI()*M$1*$A68)/6)</f>
        <v>0.00265</v>
      </c>
      <c r="N68" s="1" t="n">
        <f aca="false">N$2*SIN((PI()*N$1*$A68)/6)</f>
        <v>2.83797873143401E-016</v>
      </c>
      <c r="O68" s="2" t="n">
        <f aca="false">O$2*(-1)^(A68)</f>
        <v>0.114941</v>
      </c>
      <c r="P68" s="2" t="n">
        <f aca="false">100*LN(C68)</f>
        <v>442.258059327572</v>
      </c>
      <c r="Q68" s="2" t="n">
        <f aca="false">SUM(E68:O68)</f>
        <v>0.540313999999998</v>
      </c>
      <c r="R68" s="2" t="n">
        <f aca="false">P68-Q68</f>
        <v>441.717745327572</v>
      </c>
      <c r="S68" s="1" t="n">
        <f aca="false">EXP(R68/100)</f>
        <v>82.8620729035972</v>
      </c>
      <c r="T68" s="2"/>
      <c r="U68" s="2"/>
      <c r="V68" s="4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L68" s="2"/>
      <c r="AM68" s="5"/>
      <c r="AN68" s="2"/>
      <c r="AO68" s="2"/>
      <c r="AP68" s="2"/>
      <c r="AR68" s="2"/>
      <c r="AS68" s="2"/>
      <c r="AT68" s="2"/>
      <c r="AU68" s="2"/>
      <c r="AW68" s="2"/>
      <c r="AX68" s="2"/>
      <c r="AY68" s="2"/>
      <c r="AZ68" s="2"/>
      <c r="BB68" s="2"/>
      <c r="BC68" s="2"/>
      <c r="BD68" s="2"/>
      <c r="BE68" s="2"/>
    </row>
    <row r="69" customFormat="false" ht="12.8" hidden="false" customHeight="false" outlineLevel="0" collapsed="false">
      <c r="A69" s="2" t="n">
        <v>67</v>
      </c>
      <c r="B69" s="2" t="s">
        <v>73</v>
      </c>
      <c r="C69" s="2" t="n">
        <v>82.704</v>
      </c>
      <c r="D69" s="2" t="n">
        <f aca="false">100*LN(C69)</f>
        <v>441.526796845368</v>
      </c>
      <c r="E69" s="2" t="n">
        <f aca="false">E$2*COS((PI()*E$1*$A69)/6)</f>
        <v>0.139421429755257</v>
      </c>
      <c r="F69" s="2" t="n">
        <f aca="false">F$2*SIN((PI()*F$1*$A69)/6)</f>
        <v>0.0831379999999997</v>
      </c>
      <c r="G69" s="1" t="n">
        <f aca="false">G$2*COS((PI()*G$1*$A69)/6)</f>
        <v>0.144634500000001</v>
      </c>
      <c r="H69" s="1" t="n">
        <f aca="false">H$2*SIN((PI()*H$1*$A69)/6)</f>
        <v>-0.499983312392273</v>
      </c>
      <c r="I69" s="1" t="n">
        <f aca="false">I$2*COS((PI()*I$1*$A69)/6)</f>
        <v>-5.06187081231661E-016</v>
      </c>
      <c r="J69" s="1" t="n">
        <f aca="false">J$2*SIN((PI()*J$1*$A69)/6)</f>
        <v>0.033221</v>
      </c>
      <c r="K69" s="1" t="n">
        <f aca="false">K$2*COS((PI()*K$1*$A69)/6)</f>
        <v>-0.0292829999999996</v>
      </c>
      <c r="L69" s="1" t="n">
        <f aca="false">L$2*SIN((PI()*L$1*$A69)/6)</f>
        <v>-0.0149874356378936</v>
      </c>
      <c r="M69" s="1" t="n">
        <f aca="false">M$2*COS((PI()*M$1*$A69)/6)</f>
        <v>-0.00229496732002873</v>
      </c>
      <c r="N69" s="1" t="n">
        <f aca="false">N$2*SIN((PI()*N$1*$A69)/6)</f>
        <v>-0.00579200000000024</v>
      </c>
      <c r="O69" s="2" t="n">
        <f aca="false">O$2*(-1)^(A69)</f>
        <v>-0.114941</v>
      </c>
      <c r="P69" s="2" t="n">
        <f aca="false">100*LN(C69)</f>
        <v>441.526796845368</v>
      </c>
      <c r="Q69" s="2" t="n">
        <f aca="false">SUM(E69:O69)</f>
        <v>-0.266866785594938</v>
      </c>
      <c r="R69" s="2" t="n">
        <f aca="false">P69-Q69</f>
        <v>441.793663630963</v>
      </c>
      <c r="S69" s="1" t="n">
        <f aca="false">EXP(R69/100)</f>
        <v>82.9250042686902</v>
      </c>
      <c r="T69" s="2"/>
      <c r="U69" s="2"/>
      <c r="V69" s="4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L69" s="2"/>
      <c r="AM69" s="5"/>
      <c r="AN69" s="2"/>
      <c r="AO69" s="2"/>
      <c r="AP69" s="2"/>
      <c r="AR69" s="2"/>
      <c r="AS69" s="2"/>
      <c r="AT69" s="2"/>
      <c r="AU69" s="2"/>
      <c r="AW69" s="2"/>
      <c r="AX69" s="2"/>
      <c r="AY69" s="2"/>
      <c r="AZ69" s="2"/>
      <c r="BB69" s="2"/>
      <c r="BC69" s="2"/>
      <c r="BD69" s="2"/>
      <c r="BE69" s="2"/>
    </row>
    <row r="70" customFormat="false" ht="12.8" hidden="false" customHeight="false" outlineLevel="0" collapsed="false">
      <c r="A70" s="2" t="n">
        <v>68</v>
      </c>
      <c r="B70" s="2" t="s">
        <v>74</v>
      </c>
      <c r="C70" s="2" t="n">
        <v>82.818</v>
      </c>
      <c r="D70" s="2" t="n">
        <f aca="false">100*LN(C70)</f>
        <v>441.66454290695</v>
      </c>
      <c r="E70" s="2" t="n">
        <f aca="false">E$2*COS((PI()*E$1*$A70)/6)</f>
        <v>0.0804949999999999</v>
      </c>
      <c r="F70" s="2" t="n">
        <f aca="false">F$2*SIN((PI()*F$1*$A70)/6)</f>
        <v>0.143999240039661</v>
      </c>
      <c r="G70" s="1" t="n">
        <f aca="false">G$2*COS((PI()*G$1*$A70)/6)</f>
        <v>-0.1446345</v>
      </c>
      <c r="H70" s="1" t="n">
        <f aca="false">H$2*SIN((PI()*H$1*$A70)/6)</f>
        <v>-0.499983312392273</v>
      </c>
      <c r="I70" s="1" t="n">
        <f aca="false">I$2*COS((PI()*I$1*$A70)/6)</f>
        <v>0.086102</v>
      </c>
      <c r="J70" s="1" t="n">
        <f aca="false">J$2*SIN((PI()*J$1*$A70)/6)</f>
        <v>3.74374972716075E-016</v>
      </c>
      <c r="K70" s="1" t="n">
        <f aca="false">K$2*COS((PI()*K$1*$A70)/6)</f>
        <v>-0.0292829999999998</v>
      </c>
      <c r="L70" s="1" t="n">
        <f aca="false">L$2*SIN((PI()*L$1*$A70)/6)</f>
        <v>0.0149874356378935</v>
      </c>
      <c r="M70" s="1" t="n">
        <f aca="false">M$2*COS((PI()*M$1*$A70)/6)</f>
        <v>0.00132500000000001</v>
      </c>
      <c r="N70" s="1" t="n">
        <f aca="false">N$2*SIN((PI()*N$1*$A70)/6)</f>
        <v>0.0100320382774389</v>
      </c>
      <c r="O70" s="2" t="n">
        <f aca="false">O$2*(-1)^(A70)</f>
        <v>0.114941</v>
      </c>
      <c r="P70" s="2" t="n">
        <f aca="false">100*LN(C70)</f>
        <v>441.66454290695</v>
      </c>
      <c r="Q70" s="2" t="n">
        <f aca="false">SUM(E70:O70)</f>
        <v>-0.222019098437279</v>
      </c>
      <c r="R70" s="2" t="n">
        <f aca="false">P70-Q70</f>
        <v>441.886562005387</v>
      </c>
      <c r="S70" s="1" t="n">
        <f aca="false">EXP(R70/100)</f>
        <v>83.0020760433167</v>
      </c>
      <c r="T70" s="2"/>
      <c r="U70" s="2"/>
      <c r="V70" s="4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L70" s="2"/>
      <c r="AM70" s="5"/>
      <c r="AN70" s="2"/>
      <c r="AO70" s="2"/>
      <c r="AP70" s="2"/>
      <c r="AR70" s="2"/>
      <c r="AS70" s="2"/>
      <c r="AT70" s="2"/>
      <c r="AU70" s="2"/>
      <c r="AW70" s="2"/>
      <c r="AX70" s="2"/>
      <c r="AY70" s="2"/>
      <c r="AZ70" s="2"/>
      <c r="BB70" s="2"/>
      <c r="BC70" s="2"/>
      <c r="BD70" s="2"/>
      <c r="BE70" s="2"/>
    </row>
    <row r="71" customFormat="false" ht="12.8" hidden="false" customHeight="false" outlineLevel="0" collapsed="false">
      <c r="A71" s="2" t="n">
        <v>69</v>
      </c>
      <c r="B71" s="2" t="s">
        <v>75</v>
      </c>
      <c r="C71" s="2" t="n">
        <v>83.09</v>
      </c>
      <c r="D71" s="2" t="n">
        <f aca="false">100*LN(C71)</f>
        <v>441.992435767689</v>
      </c>
      <c r="E71" s="2" t="n">
        <f aca="false">E$2*COS((PI()*E$1*$A71)/6)</f>
        <v>5.12704958998989E-016</v>
      </c>
      <c r="F71" s="2" t="n">
        <f aca="false">F$2*SIN((PI()*F$1*$A71)/6)</f>
        <v>0.166276</v>
      </c>
      <c r="G71" s="1" t="n">
        <f aca="false">G$2*COS((PI()*G$1*$A71)/6)</f>
        <v>-0.289269</v>
      </c>
      <c r="H71" s="1" t="n">
        <f aca="false">H$2*SIN((PI()*H$1*$A71)/6)</f>
        <v>-3.67725283165222E-015</v>
      </c>
      <c r="I71" s="1" t="n">
        <f aca="false">I$2*COS((PI()*I$1*$A71)/6)</f>
        <v>1.43441879461792E-015</v>
      </c>
      <c r="J71" s="1" t="n">
        <f aca="false">J$2*SIN((PI()*J$1*$A71)/6)</f>
        <v>-0.033221</v>
      </c>
      <c r="K71" s="1" t="n">
        <f aca="false">K$2*COS((PI()*K$1*$A71)/6)</f>
        <v>0.058566</v>
      </c>
      <c r="L71" s="1" t="n">
        <f aca="false">L$2*SIN((PI()*L$1*$A71)/6)</f>
        <v>2.20457718378446E-016</v>
      </c>
      <c r="M71" s="1" t="n">
        <f aca="false">M$2*COS((PI()*M$1*$A71)/6)</f>
        <v>-1.42908637688669E-017</v>
      </c>
      <c r="N71" s="1" t="n">
        <f aca="false">N$2*SIN((PI()*N$1*$A71)/6)</f>
        <v>-0.011584</v>
      </c>
      <c r="O71" s="2" t="n">
        <f aca="false">O$2*(-1)^(A71)</f>
        <v>-0.114941</v>
      </c>
      <c r="P71" s="2" t="n">
        <f aca="false">100*LN(C71)</f>
        <v>441.992435767689</v>
      </c>
      <c r="Q71" s="2" t="n">
        <f aca="false">SUM(E71:O71)</f>
        <v>-0.224173000000002</v>
      </c>
      <c r="R71" s="2" t="n">
        <f aca="false">P71-Q71</f>
        <v>442.216608767689</v>
      </c>
      <c r="S71" s="1" t="n">
        <f aca="false">EXP(R71/100)</f>
        <v>83.2764742801024</v>
      </c>
      <c r="T71" s="2"/>
      <c r="U71" s="2"/>
      <c r="V71" s="4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L71" s="2"/>
      <c r="AM71" s="5"/>
      <c r="AN71" s="2"/>
      <c r="AO71" s="2"/>
      <c r="AP71" s="2"/>
      <c r="AR71" s="2"/>
      <c r="AS71" s="2"/>
      <c r="AT71" s="2"/>
      <c r="AU71" s="2"/>
      <c r="AW71" s="2"/>
      <c r="AX71" s="2"/>
      <c r="AY71" s="2"/>
      <c r="AZ71" s="2"/>
      <c r="BB71" s="2"/>
      <c r="BC71" s="2"/>
      <c r="BD71" s="2"/>
      <c r="BE71" s="2"/>
    </row>
    <row r="72" customFormat="false" ht="12.8" hidden="false" customHeight="false" outlineLevel="0" collapsed="false">
      <c r="A72" s="2" t="n">
        <v>70</v>
      </c>
      <c r="B72" s="2" t="s">
        <v>76</v>
      </c>
      <c r="C72" s="2" t="n">
        <v>84.167</v>
      </c>
      <c r="D72" s="2" t="n">
        <f aca="false">100*LN(C72)</f>
        <v>443.28029204355</v>
      </c>
      <c r="E72" s="2" t="n">
        <f aca="false">E$2*COS((PI()*E$1*$A72)/6)</f>
        <v>-0.080495</v>
      </c>
      <c r="F72" s="2" t="n">
        <f aca="false">F$2*SIN((PI()*F$1*$A72)/6)</f>
        <v>0.143999240039661</v>
      </c>
      <c r="G72" s="1" t="n">
        <f aca="false">G$2*COS((PI()*G$1*$A72)/6)</f>
        <v>-0.1446345</v>
      </c>
      <c r="H72" s="1" t="n">
        <f aca="false">H$2*SIN((PI()*H$1*$A72)/6)</f>
        <v>0.499983312392274</v>
      </c>
      <c r="I72" s="1" t="n">
        <f aca="false">I$2*COS((PI()*I$1*$A72)/6)</f>
        <v>-0.086102</v>
      </c>
      <c r="J72" s="1" t="n">
        <f aca="false">J$2*SIN((PI()*J$1*$A72)/6)</f>
        <v>2.11680133769635E-016</v>
      </c>
      <c r="K72" s="1" t="n">
        <f aca="false">K$2*COS((PI()*K$1*$A72)/6)</f>
        <v>-0.029283</v>
      </c>
      <c r="L72" s="1" t="n">
        <f aca="false">L$2*SIN((PI()*L$1*$A72)/6)</f>
        <v>-0.0149874356378935</v>
      </c>
      <c r="M72" s="1" t="n">
        <f aca="false">M$2*COS((PI()*M$1*$A72)/6)</f>
        <v>-0.00132500000000005</v>
      </c>
      <c r="N72" s="1" t="n">
        <f aca="false">N$2*SIN((PI()*N$1*$A72)/6)</f>
        <v>0.0100320382774388</v>
      </c>
      <c r="O72" s="2" t="n">
        <f aca="false">O$2*(-1)^(A72)</f>
        <v>0.114941</v>
      </c>
      <c r="P72" s="2" t="n">
        <f aca="false">100*LN(C72)</f>
        <v>443.28029204355</v>
      </c>
      <c r="Q72" s="2" t="n">
        <f aca="false">SUM(E72:O72)</f>
        <v>0.41212865507148</v>
      </c>
      <c r="R72" s="2" t="n">
        <f aca="false">P72-Q72</f>
        <v>442.868163388479</v>
      </c>
      <c r="S72" s="1" t="n">
        <f aca="false">EXP(R72/100)</f>
        <v>83.8208374823144</v>
      </c>
      <c r="T72" s="2"/>
      <c r="U72" s="2"/>
      <c r="V72" s="4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L72" s="2"/>
      <c r="AM72" s="5"/>
      <c r="AN72" s="2"/>
      <c r="AO72" s="2"/>
      <c r="AP72" s="2"/>
      <c r="AR72" s="2"/>
      <c r="AS72" s="2"/>
      <c r="AT72" s="2"/>
      <c r="AU72" s="2"/>
      <c r="AW72" s="2"/>
      <c r="AX72" s="2"/>
      <c r="AY72" s="2"/>
      <c r="AZ72" s="2"/>
      <c r="BB72" s="2"/>
      <c r="BC72" s="2"/>
      <c r="BD72" s="2"/>
      <c r="BE72" s="2"/>
    </row>
    <row r="73" customFormat="false" ht="12.8" hidden="false" customHeight="false" outlineLevel="0" collapsed="false">
      <c r="A73" s="2" t="n">
        <v>71</v>
      </c>
      <c r="B73" s="2" t="s">
        <v>77</v>
      </c>
      <c r="C73" s="2" t="n">
        <v>84.77</v>
      </c>
      <c r="D73" s="2" t="n">
        <f aca="false">100*LN(C73)</f>
        <v>443.994170662031</v>
      </c>
      <c r="E73" s="2" t="n">
        <f aca="false">E$2*COS((PI()*E$1*$A73)/6)</f>
        <v>-0.139421429755257</v>
      </c>
      <c r="F73" s="2" t="n">
        <f aca="false">F$2*SIN((PI()*F$1*$A73)/6)</f>
        <v>0.0831379999999996</v>
      </c>
      <c r="G73" s="1" t="n">
        <f aca="false">G$2*COS((PI()*G$1*$A73)/6)</f>
        <v>0.144634500000001</v>
      </c>
      <c r="H73" s="1" t="n">
        <f aca="false">H$2*SIN((PI()*H$1*$A73)/6)</f>
        <v>0.499983312392272</v>
      </c>
      <c r="I73" s="1" t="n">
        <f aca="false">I$2*COS((PI()*I$1*$A73)/6)</f>
        <v>8.45155173724629E-017</v>
      </c>
      <c r="J73" s="1" t="n">
        <f aca="false">J$2*SIN((PI()*J$1*$A73)/6)</f>
        <v>0.033221</v>
      </c>
      <c r="K73" s="1" t="n">
        <f aca="false">K$2*COS((PI()*K$1*$A73)/6)</f>
        <v>-0.0292829999999995</v>
      </c>
      <c r="L73" s="1" t="n">
        <f aca="false">L$2*SIN((PI()*L$1*$A73)/6)</f>
        <v>0.0149874356378936</v>
      </c>
      <c r="M73" s="1" t="n">
        <f aca="false">M$2*COS((PI()*M$1*$A73)/6)</f>
        <v>0.00229496732002879</v>
      </c>
      <c r="N73" s="1" t="n">
        <f aca="false">N$2*SIN((PI()*N$1*$A73)/6)</f>
        <v>-0.00579199999999978</v>
      </c>
      <c r="O73" s="2" t="n">
        <f aca="false">O$2*(-1)^(A73)</f>
        <v>-0.114941</v>
      </c>
      <c r="P73" s="2" t="n">
        <f aca="false">100*LN(C73)</f>
        <v>443.994170662031</v>
      </c>
      <c r="Q73" s="2" t="n">
        <f aca="false">SUM(E73:O73)</f>
        <v>0.488821785594939</v>
      </c>
      <c r="R73" s="2" t="n">
        <f aca="false">P73-Q73</f>
        <v>443.505348876436</v>
      </c>
      <c r="S73" s="1" t="n">
        <f aca="false">EXP(R73/100)</f>
        <v>84.3566368998924</v>
      </c>
      <c r="T73" s="2"/>
      <c r="U73" s="2"/>
      <c r="V73" s="4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L73" s="2"/>
      <c r="AM73" s="5"/>
      <c r="AN73" s="2"/>
      <c r="AO73" s="2"/>
      <c r="AP73" s="2"/>
      <c r="AR73" s="2"/>
      <c r="AS73" s="2"/>
      <c r="AT73" s="2"/>
      <c r="AU73" s="2"/>
      <c r="AW73" s="2"/>
      <c r="AX73" s="2"/>
      <c r="AY73" s="2"/>
      <c r="AZ73" s="2"/>
      <c r="BB73" s="2"/>
      <c r="BC73" s="2"/>
      <c r="BD73" s="2"/>
      <c r="BE73" s="2"/>
    </row>
    <row r="74" customFormat="false" ht="12.8" hidden="false" customHeight="false" outlineLevel="0" collapsed="false">
      <c r="A74" s="2" t="n">
        <v>72</v>
      </c>
      <c r="B74" s="2" t="s">
        <v>78</v>
      </c>
      <c r="C74" s="2" t="n">
        <v>85.125</v>
      </c>
      <c r="D74" s="2" t="n">
        <f aca="false">100*LN(C74)</f>
        <v>444.412076446968</v>
      </c>
      <c r="E74" s="2" t="n">
        <f aca="false">E$2*COS((PI()*E$1*$A74)/6)</f>
        <v>-0.16099</v>
      </c>
      <c r="F74" s="2" t="n">
        <f aca="false">F$2*SIN((PI()*F$1*$A74)/6)</f>
        <v>2.4435524541003E-016</v>
      </c>
      <c r="G74" s="1" t="n">
        <f aca="false">G$2*COS((PI()*G$1*$A74)/6)</f>
        <v>0.289269</v>
      </c>
      <c r="H74" s="1" t="n">
        <f aca="false">H$2*SIN((PI()*H$1*$A74)/6)</f>
        <v>1.6968637468765E-015</v>
      </c>
      <c r="I74" s="1" t="n">
        <f aca="false">I$2*COS((PI()*I$1*$A74)/6)</f>
        <v>0.086102</v>
      </c>
      <c r="J74" s="1" t="n">
        <f aca="false">J$2*SIN((PI()*J$1*$A74)/6)</f>
        <v>1.46462368732107E-016</v>
      </c>
      <c r="K74" s="1" t="n">
        <f aca="false">K$2*COS((PI()*K$1*$A74)/6)</f>
        <v>0.058566</v>
      </c>
      <c r="L74" s="1" t="n">
        <f aca="false">L$2*SIN((PI()*L$1*$A74)/6)</f>
        <v>1.01729940029012E-016</v>
      </c>
      <c r="M74" s="1" t="n">
        <f aca="false">M$2*COS((PI()*M$1*$A74)/6)</f>
        <v>-0.00265</v>
      </c>
      <c r="N74" s="1" t="n">
        <f aca="false">N$2*SIN((PI()*N$1*$A74)/6)</f>
        <v>7.95006898929624E-017</v>
      </c>
      <c r="O74" s="2" t="n">
        <f aca="false">O$2*(-1)^(A74)</f>
        <v>0.114941</v>
      </c>
      <c r="P74" s="2" t="n">
        <f aca="false">100*LN(C74)</f>
        <v>444.412076446968</v>
      </c>
      <c r="Q74" s="2" t="n">
        <f aca="false">SUM(E74:O74)</f>
        <v>0.385238000000002</v>
      </c>
      <c r="R74" s="2" t="n">
        <f aca="false">P74-Q74</f>
        <v>444.026838446968</v>
      </c>
      <c r="S74" s="1" t="n">
        <f aca="false">EXP(R74/100)</f>
        <v>84.7976970050431</v>
      </c>
      <c r="T74" s="2"/>
      <c r="U74" s="2"/>
      <c r="V74" s="4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L74" s="2"/>
      <c r="AM74" s="5"/>
      <c r="AN74" s="2"/>
      <c r="AO74" s="2"/>
      <c r="AP74" s="2"/>
      <c r="AR74" s="2"/>
      <c r="AS74" s="2"/>
      <c r="AT74" s="2"/>
      <c r="AU74" s="2"/>
      <c r="AW74" s="2"/>
      <c r="AX74" s="2"/>
      <c r="AY74" s="2"/>
      <c r="AZ74" s="2"/>
      <c r="BB74" s="2"/>
      <c r="BC74" s="2"/>
      <c r="BD74" s="2"/>
      <c r="BE74" s="2"/>
    </row>
    <row r="75" customFormat="false" ht="12.8" hidden="false" customHeight="false" outlineLevel="0" collapsed="false">
      <c r="A75" s="2" t="n">
        <v>73</v>
      </c>
      <c r="B75" s="2" t="s">
        <v>79</v>
      </c>
      <c r="C75" s="2" t="n">
        <v>84.598</v>
      </c>
      <c r="D75" s="2" t="n">
        <f aca="false">100*LN(C75)</f>
        <v>443.791062567079</v>
      </c>
      <c r="E75" s="2" t="n">
        <f aca="false">E$2*COS((PI()*E$1*$A75)/6)</f>
        <v>-0.139421429755257</v>
      </c>
      <c r="F75" s="2" t="n">
        <f aca="false">F$2*SIN((PI()*F$1*$A75)/6)</f>
        <v>-0.0831379999999992</v>
      </c>
      <c r="G75" s="1" t="n">
        <f aca="false">G$2*COS((PI()*G$1*$A75)/6)</f>
        <v>0.144634500000003</v>
      </c>
      <c r="H75" s="1" t="n">
        <f aca="false">H$2*SIN((PI()*H$1*$A75)/6)</f>
        <v>-0.499983312392271</v>
      </c>
      <c r="I75" s="1" t="n">
        <f aca="false">I$2*COS((PI()*I$1*$A75)/6)</f>
        <v>-3.79866816674525E-016</v>
      </c>
      <c r="J75" s="1" t="n">
        <f aca="false">J$2*SIN((PI()*J$1*$A75)/6)</f>
        <v>-0.033221</v>
      </c>
      <c r="K75" s="1" t="n">
        <f aca="false">K$2*COS((PI()*K$1*$A75)/6)</f>
        <v>-0.0292829999999989</v>
      </c>
      <c r="L75" s="1" t="n">
        <f aca="false">L$2*SIN((PI()*L$1*$A75)/6)</f>
        <v>-0.0149874356378937</v>
      </c>
      <c r="M75" s="1" t="n">
        <f aca="false">M$2*COS((PI()*M$1*$A75)/6)</f>
        <v>0.00229496732002877</v>
      </c>
      <c r="N75" s="1" t="n">
        <f aca="false">N$2*SIN((PI()*N$1*$A75)/6)</f>
        <v>0.00579199999999993</v>
      </c>
      <c r="O75" s="2" t="n">
        <f aca="false">O$2*(-1)^(A75)</f>
        <v>-0.114941</v>
      </c>
      <c r="P75" s="2" t="n">
        <f aca="false">100*LN(C75)</f>
        <v>443.791062567079</v>
      </c>
      <c r="Q75" s="2" t="n">
        <f aca="false">SUM(E75:O75)</f>
        <v>-0.762253710465388</v>
      </c>
      <c r="R75" s="2" t="n">
        <f aca="false">P75-Q75</f>
        <v>444.553316277545</v>
      </c>
      <c r="S75" s="1" t="n">
        <f aca="false">EXP(R75/100)</f>
        <v>85.2453153523777</v>
      </c>
      <c r="T75" s="2"/>
      <c r="U75" s="2"/>
      <c r="V75" s="4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L75" s="2"/>
      <c r="AM75" s="5"/>
      <c r="AN75" s="2"/>
      <c r="AO75" s="2"/>
      <c r="AP75" s="2"/>
      <c r="AR75" s="2"/>
      <c r="AS75" s="2"/>
      <c r="AT75" s="2"/>
      <c r="AU75" s="2"/>
      <c r="AW75" s="2"/>
      <c r="AX75" s="2"/>
      <c r="AY75" s="2"/>
      <c r="AZ75" s="2"/>
      <c r="BB75" s="2"/>
      <c r="BC75" s="2"/>
      <c r="BD75" s="2"/>
      <c r="BE75" s="2"/>
    </row>
    <row r="76" customFormat="false" ht="12.8" hidden="false" customHeight="false" outlineLevel="0" collapsed="false">
      <c r="A76" s="2" t="n">
        <v>74</v>
      </c>
      <c r="B76" s="2" t="s">
        <v>80</v>
      </c>
      <c r="C76" s="2" t="n">
        <v>84.73</v>
      </c>
      <c r="D76" s="2" t="n">
        <f aca="false">100*LN(C76)</f>
        <v>443.946973021037</v>
      </c>
      <c r="E76" s="2" t="n">
        <f aca="false">E$2*COS((PI()*E$1*$A76)/6)</f>
        <v>-0.0804950000000004</v>
      </c>
      <c r="F76" s="2" t="n">
        <f aca="false">F$2*SIN((PI()*F$1*$A76)/6)</f>
        <v>-0.143999240039661</v>
      </c>
      <c r="G76" s="1" t="n">
        <f aca="false">G$2*COS((PI()*G$1*$A76)/6)</f>
        <v>-0.144634499999999</v>
      </c>
      <c r="H76" s="1" t="n">
        <f aca="false">H$2*SIN((PI()*H$1*$A76)/6)</f>
        <v>-0.499983312392275</v>
      </c>
      <c r="I76" s="1" t="n">
        <f aca="false">I$2*COS((PI()*I$1*$A76)/6)</f>
        <v>-0.086102</v>
      </c>
      <c r="J76" s="1" t="n">
        <f aca="false">J$2*SIN((PI()*J$1*$A76)/6)</f>
        <v>-3.25060667401232E-017</v>
      </c>
      <c r="K76" s="1" t="n">
        <f aca="false">K$2*COS((PI()*K$1*$A76)/6)</f>
        <v>-0.0292830000000005</v>
      </c>
      <c r="L76" s="1" t="n">
        <f aca="false">L$2*SIN((PI()*L$1*$A76)/6)</f>
        <v>0.0149874356378934</v>
      </c>
      <c r="M76" s="1" t="n">
        <f aca="false">M$2*COS((PI()*M$1*$A76)/6)</f>
        <v>-0.00132499999999995</v>
      </c>
      <c r="N76" s="1" t="n">
        <f aca="false">N$2*SIN((PI()*N$1*$A76)/6)</f>
        <v>-0.0100320382774391</v>
      </c>
      <c r="O76" s="2" t="n">
        <f aca="false">O$2*(-1)^(A76)</f>
        <v>0.114941</v>
      </c>
      <c r="P76" s="2" t="n">
        <f aca="false">100*LN(C76)</f>
        <v>443.946973021037</v>
      </c>
      <c r="Q76" s="2" t="n">
        <f aca="false">SUM(E76:O76)</f>
        <v>-0.865925655071482</v>
      </c>
      <c r="R76" s="2" t="n">
        <f aca="false">P76-Q76</f>
        <v>444.812898676109</v>
      </c>
      <c r="S76" s="1" t="n">
        <f aca="false">EXP(R76/100)</f>
        <v>85.4668846396512</v>
      </c>
      <c r="T76" s="2"/>
      <c r="U76" s="2"/>
      <c r="V76" s="4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L76" s="2"/>
      <c r="AM76" s="5"/>
      <c r="AN76" s="2"/>
      <c r="AO76" s="2"/>
      <c r="AP76" s="2"/>
      <c r="AR76" s="2"/>
      <c r="AS76" s="2"/>
      <c r="AT76" s="2"/>
      <c r="AU76" s="2"/>
      <c r="AW76" s="2"/>
      <c r="AX76" s="2"/>
      <c r="AY76" s="2"/>
      <c r="AZ76" s="2"/>
      <c r="BB76" s="2"/>
      <c r="BC76" s="2"/>
      <c r="BD76" s="2"/>
      <c r="BE76" s="2"/>
    </row>
    <row r="77" customFormat="false" ht="12.8" hidden="false" customHeight="false" outlineLevel="0" collapsed="false">
      <c r="A77" s="2" t="n">
        <v>75</v>
      </c>
      <c r="B77" s="2" t="s">
        <v>81</v>
      </c>
      <c r="C77" s="2" t="n">
        <v>85.482</v>
      </c>
      <c r="D77" s="2" t="n">
        <f aca="false">100*LN(C77)</f>
        <v>444.830582746315</v>
      </c>
      <c r="E77" s="2" t="n">
        <f aca="false">E$2*COS((PI()*E$1*$A77)/6)</f>
        <v>3.95308273316308E-017</v>
      </c>
      <c r="F77" s="2" t="n">
        <f aca="false">F$2*SIN((PI()*F$1*$A77)/6)</f>
        <v>-0.166276</v>
      </c>
      <c r="G77" s="1" t="n">
        <f aca="false">G$2*COS((PI()*G$1*$A77)/6)</f>
        <v>-0.289269</v>
      </c>
      <c r="H77" s="1" t="n">
        <f aca="false">H$2*SIN((PI()*H$1*$A77)/6)</f>
        <v>2.83525337899221E-016</v>
      </c>
      <c r="I77" s="1" t="n">
        <f aca="false">I$2*COS((PI()*I$1*$A77)/6)</f>
        <v>-5.48364896711736E-016</v>
      </c>
      <c r="J77" s="1" t="n">
        <f aca="false">J$2*SIN((PI()*J$1*$A77)/6)</f>
        <v>0.033221</v>
      </c>
      <c r="K77" s="1" t="n">
        <f aca="false">K$2*COS((PI()*K$1*$A77)/6)</f>
        <v>0.058566</v>
      </c>
      <c r="L77" s="1" t="n">
        <f aca="false">L$2*SIN((PI()*L$1*$A77)/6)</f>
        <v>-1.69978383204225E-017</v>
      </c>
      <c r="M77" s="1" t="n">
        <f aca="false">M$2*COS((PI()*M$1*$A77)/6)</f>
        <v>-5.32346319817527E-017</v>
      </c>
      <c r="N77" s="1" t="n">
        <f aca="false">N$2*SIN((PI()*N$1*$A77)/6)</f>
        <v>0.011584</v>
      </c>
      <c r="O77" s="2" t="n">
        <f aca="false">O$2*(-1)^(A77)</f>
        <v>-0.114941</v>
      </c>
      <c r="P77" s="2" t="n">
        <f aca="false">100*LN(C77)</f>
        <v>444.830582746315</v>
      </c>
      <c r="Q77" s="2" t="n">
        <f aca="false">SUM(E77:O77)</f>
        <v>-0.467115</v>
      </c>
      <c r="R77" s="2" t="n">
        <f aca="false">P77-Q77</f>
        <v>445.297697746315</v>
      </c>
      <c r="S77" s="1" t="n">
        <f aca="false">EXP(R77/100)</f>
        <v>85.8822332914242</v>
      </c>
      <c r="T77" s="2"/>
      <c r="U77" s="2"/>
      <c r="V77" s="4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L77" s="2"/>
      <c r="AM77" s="5"/>
      <c r="AN77" s="2"/>
      <c r="AO77" s="2"/>
      <c r="AP77" s="2"/>
      <c r="AR77" s="2"/>
      <c r="AS77" s="2"/>
      <c r="AT77" s="2"/>
      <c r="AU77" s="2"/>
      <c r="AW77" s="2"/>
      <c r="AX77" s="2"/>
      <c r="AY77" s="2"/>
      <c r="AZ77" s="2"/>
      <c r="BB77" s="2"/>
      <c r="BC77" s="2"/>
      <c r="BD77" s="2"/>
      <c r="BE77" s="2"/>
    </row>
    <row r="78" customFormat="false" ht="12.8" hidden="false" customHeight="false" outlineLevel="0" collapsed="false">
      <c r="A78" s="2" t="n">
        <v>76</v>
      </c>
      <c r="B78" s="2" t="s">
        <v>82</v>
      </c>
      <c r="C78" s="2" t="n">
        <v>86.402</v>
      </c>
      <c r="D78" s="2" t="n">
        <f aca="false">100*LN(C78)</f>
        <v>445.901082369024</v>
      </c>
      <c r="E78" s="2" t="n">
        <f aca="false">E$2*COS((PI()*E$1*$A78)/6)</f>
        <v>0.0804949999999995</v>
      </c>
      <c r="F78" s="2" t="n">
        <f aca="false">F$2*SIN((PI()*F$1*$A78)/6)</f>
        <v>-0.143999240039662</v>
      </c>
      <c r="G78" s="1" t="n">
        <f aca="false">G$2*COS((PI()*G$1*$A78)/6)</f>
        <v>-0.144634500000002</v>
      </c>
      <c r="H78" s="1" t="n">
        <f aca="false">H$2*SIN((PI()*H$1*$A78)/6)</f>
        <v>0.499983312392272</v>
      </c>
      <c r="I78" s="1" t="n">
        <f aca="false">I$2*COS((PI()*I$1*$A78)/6)</f>
        <v>0.086102</v>
      </c>
      <c r="J78" s="1" t="n">
        <f aca="false">J$2*SIN((PI()*J$1*$A78)/6)</f>
        <v>3.90648569241865E-016</v>
      </c>
      <c r="K78" s="1" t="n">
        <f aca="false">K$2*COS((PI()*K$1*$A78)/6)</f>
        <v>-0.0292829999999992</v>
      </c>
      <c r="L78" s="1" t="n">
        <f aca="false">L$2*SIN((PI()*L$1*$A78)/6)</f>
        <v>-0.0149874356378936</v>
      </c>
      <c r="M78" s="1" t="n">
        <f aca="false">M$2*COS((PI()*M$1*$A78)/6)</f>
        <v>0.00132499999999998</v>
      </c>
      <c r="N78" s="1" t="n">
        <f aca="false">N$2*SIN((PI()*N$1*$A78)/6)</f>
        <v>-0.010032038277439</v>
      </c>
      <c r="O78" s="2" t="n">
        <f aca="false">O$2*(-1)^(A78)</f>
        <v>0.114941</v>
      </c>
      <c r="P78" s="2" t="n">
        <f aca="false">100*LN(C78)</f>
        <v>445.901082369024</v>
      </c>
      <c r="Q78" s="2" t="n">
        <f aca="false">SUM(E78:O78)</f>
        <v>0.439910098437276</v>
      </c>
      <c r="R78" s="2" t="n">
        <f aca="false">P78-Q78</f>
        <v>445.461172270587</v>
      </c>
      <c r="S78" s="1" t="n">
        <f aca="false">EXP(R78/100)</f>
        <v>86.0227436817863</v>
      </c>
      <c r="T78" s="2"/>
      <c r="U78" s="2"/>
      <c r="V78" s="4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L78" s="2"/>
      <c r="AM78" s="5"/>
      <c r="AN78" s="2"/>
      <c r="AO78" s="2"/>
      <c r="AP78" s="2"/>
      <c r="AR78" s="2"/>
      <c r="AS78" s="2"/>
      <c r="AT78" s="2"/>
      <c r="AU78" s="2"/>
      <c r="AW78" s="2"/>
      <c r="AX78" s="2"/>
      <c r="AY78" s="2"/>
      <c r="AZ78" s="2"/>
      <c r="BB78" s="2"/>
      <c r="BC78" s="2"/>
      <c r="BD78" s="2"/>
      <c r="BE78" s="2"/>
    </row>
    <row r="79" customFormat="false" ht="12.8" hidden="false" customHeight="false" outlineLevel="0" collapsed="false">
      <c r="A79" s="2" t="n">
        <v>77</v>
      </c>
      <c r="B79" s="2" t="s">
        <v>83</v>
      </c>
      <c r="C79" s="2" t="n">
        <v>86.985</v>
      </c>
      <c r="D79" s="2" t="n">
        <f aca="false">100*LN(C79)</f>
        <v>446.573568999651</v>
      </c>
      <c r="E79" s="2" t="n">
        <f aca="false">E$2*COS((PI()*E$1*$A79)/6)</f>
        <v>0.139421429755257</v>
      </c>
      <c r="F79" s="2" t="n">
        <f aca="false">F$2*SIN((PI()*F$1*$A79)/6)</f>
        <v>-0.0831380000000002</v>
      </c>
      <c r="G79" s="1" t="n">
        <f aca="false">G$2*COS((PI()*G$1*$A79)/6)</f>
        <v>0.1446345</v>
      </c>
      <c r="H79" s="1" t="n">
        <f aca="false">H$2*SIN((PI()*H$1*$A79)/6)</f>
        <v>0.499983312392274</v>
      </c>
      <c r="I79" s="1" t="n">
        <f aca="false">I$2*COS((PI()*I$1*$A79)/6)</f>
        <v>2.53013597409673E-016</v>
      </c>
      <c r="J79" s="1" t="n">
        <f aca="false">J$2*SIN((PI()*J$1*$A79)/6)</f>
        <v>-0.033221</v>
      </c>
      <c r="K79" s="1" t="n">
        <f aca="false">K$2*COS((PI()*K$1*$A79)/6)</f>
        <v>-0.0292830000000002</v>
      </c>
      <c r="L79" s="1" t="n">
        <f aca="false">L$2*SIN((PI()*L$1*$A79)/6)</f>
        <v>0.0149874356378935</v>
      </c>
      <c r="M79" s="1" t="n">
        <f aca="false">M$2*COS((PI()*M$1*$A79)/6)</f>
        <v>-0.00229496732002875</v>
      </c>
      <c r="N79" s="1" t="n">
        <f aca="false">N$2*SIN((PI()*N$1*$A79)/6)</f>
        <v>0.00579200000000009</v>
      </c>
      <c r="O79" s="2" t="n">
        <f aca="false">O$2*(-1)^(A79)</f>
        <v>-0.114941</v>
      </c>
      <c r="P79" s="2" t="n">
        <f aca="false">100*LN(C79)</f>
        <v>446.573568999651</v>
      </c>
      <c r="Q79" s="2" t="n">
        <f aca="false">SUM(E79:O79)</f>
        <v>0.541940710465395</v>
      </c>
      <c r="R79" s="2" t="n">
        <f aca="false">P79-Q79</f>
        <v>446.031628289186</v>
      </c>
      <c r="S79" s="1" t="n">
        <f aca="false">EXP(R79/100)</f>
        <v>86.5148679421555</v>
      </c>
      <c r="T79" s="2"/>
      <c r="U79" s="2"/>
      <c r="V79" s="4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L79" s="2"/>
      <c r="AM79" s="5"/>
      <c r="AN79" s="2"/>
      <c r="AO79" s="2"/>
      <c r="AP79" s="2"/>
      <c r="AR79" s="2"/>
      <c r="AS79" s="2"/>
      <c r="AT79" s="2"/>
      <c r="AU79" s="2"/>
      <c r="AW79" s="2"/>
      <c r="AX79" s="2"/>
      <c r="AY79" s="2"/>
      <c r="AZ79" s="2"/>
      <c r="BB79" s="2"/>
      <c r="BC79" s="2"/>
      <c r="BD79" s="2"/>
      <c r="BE79" s="2"/>
    </row>
    <row r="80" customFormat="false" ht="12.8" hidden="false" customHeight="false" outlineLevel="0" collapsed="false">
      <c r="A80" s="2" t="n">
        <v>78</v>
      </c>
      <c r="B80" s="2" t="s">
        <v>84</v>
      </c>
      <c r="C80" s="2" t="n">
        <v>87.486</v>
      </c>
      <c r="D80" s="2" t="n">
        <f aca="false">100*LN(C80)</f>
        <v>447.14787805622</v>
      </c>
      <c r="E80" s="2" t="n">
        <f aca="false">E$2*COS((PI()*E$1*$A80)/6)</f>
        <v>0.16099</v>
      </c>
      <c r="F80" s="2" t="n">
        <f aca="false">F$2*SIN((PI()*F$1*$A80)/6)</f>
        <v>-8.55449202183765E-016</v>
      </c>
      <c r="G80" s="1" t="n">
        <f aca="false">G$2*COS((PI()*G$1*$A80)/6)</f>
        <v>0.289269</v>
      </c>
      <c r="H80" s="1" t="n">
        <f aca="false">H$2*SIN((PI()*H$1*$A80)/6)</f>
        <v>5.94045254090735E-015</v>
      </c>
      <c r="I80" s="1" t="n">
        <f aca="false">I$2*COS((PI()*I$1*$A80)/6)</f>
        <v>-0.086102</v>
      </c>
      <c r="J80" s="1" t="n">
        <f aca="false">J$2*SIN((PI()*J$1*$A80)/6)</f>
        <v>-2.76692267249881E-016</v>
      </c>
      <c r="K80" s="1" t="n">
        <f aca="false">K$2*COS((PI()*K$1*$A80)/6)</f>
        <v>0.058566</v>
      </c>
      <c r="L80" s="1" t="n">
        <f aca="false">L$2*SIN((PI()*L$1*$A80)/6)</f>
        <v>3.56140486732715E-016</v>
      </c>
      <c r="M80" s="1" t="n">
        <f aca="false">M$2*COS((PI()*M$1*$A80)/6)</f>
        <v>0.00265</v>
      </c>
      <c r="N80" s="1" t="n">
        <f aca="false">N$2*SIN((PI()*N$1*$A80)/6)</f>
        <v>2.15674911154274E-016</v>
      </c>
      <c r="O80" s="2" t="n">
        <f aca="false">O$2*(-1)^(A80)</f>
        <v>0.114941</v>
      </c>
      <c r="P80" s="2" t="n">
        <f aca="false">100*LN(C80)</f>
        <v>447.14787805622</v>
      </c>
      <c r="Q80" s="2" t="n">
        <f aca="false">SUM(E80:O80)</f>
        <v>0.540314000000005</v>
      </c>
      <c r="R80" s="2" t="n">
        <f aca="false">P80-Q80</f>
        <v>446.60756405622</v>
      </c>
      <c r="S80" s="1" t="n">
        <f aca="false">EXP(R80/100)</f>
        <v>87.0145756267972</v>
      </c>
      <c r="T80" s="2"/>
      <c r="U80" s="2"/>
      <c r="V80" s="4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L80" s="2"/>
      <c r="AM80" s="5"/>
      <c r="AN80" s="2"/>
      <c r="AO80" s="2"/>
      <c r="AP80" s="2"/>
      <c r="AR80" s="2"/>
      <c r="AS80" s="2"/>
      <c r="AT80" s="2"/>
      <c r="AU80" s="2"/>
      <c r="AW80" s="2"/>
      <c r="AX80" s="2"/>
      <c r="AY80" s="2"/>
      <c r="AZ80" s="2"/>
      <c r="BB80" s="2"/>
      <c r="BC80" s="2"/>
      <c r="BD80" s="2"/>
      <c r="BE80" s="2"/>
    </row>
    <row r="81" customFormat="false" ht="12.8" hidden="false" customHeight="false" outlineLevel="0" collapsed="false">
      <c r="A81" s="2" t="n">
        <v>79</v>
      </c>
      <c r="B81" s="2" t="s">
        <v>85</v>
      </c>
      <c r="C81" s="2" t="n">
        <v>87.066</v>
      </c>
      <c r="D81" s="2" t="n">
        <f aca="false">100*LN(C81)</f>
        <v>446.666645173701</v>
      </c>
      <c r="E81" s="2" t="n">
        <f aca="false">E$2*COS((PI()*E$1*$A81)/6)</f>
        <v>0.139421429755257</v>
      </c>
      <c r="F81" s="2" t="n">
        <f aca="false">F$2*SIN((PI()*F$1*$A81)/6)</f>
        <v>0.0831379999999997</v>
      </c>
      <c r="G81" s="1" t="n">
        <f aca="false">G$2*COS((PI()*G$1*$A81)/6)</f>
        <v>0.144634500000001</v>
      </c>
      <c r="H81" s="1" t="n">
        <f aca="false">H$2*SIN((PI()*H$1*$A81)/6)</f>
        <v>-0.499983312392273</v>
      </c>
      <c r="I81" s="1" t="n">
        <f aca="false">I$2*COS((PI()*I$1*$A81)/6)</f>
        <v>-1.18124531079593E-015</v>
      </c>
      <c r="J81" s="1" t="n">
        <f aca="false">J$2*SIN((PI()*J$1*$A81)/6)</f>
        <v>0.033221</v>
      </c>
      <c r="K81" s="1" t="n">
        <f aca="false">K$2*COS((PI()*K$1*$A81)/6)</f>
        <v>-0.0292829999999996</v>
      </c>
      <c r="L81" s="1" t="n">
        <f aca="false">L$2*SIN((PI()*L$1*$A81)/6)</f>
        <v>-0.0149874356378936</v>
      </c>
      <c r="M81" s="1" t="n">
        <f aca="false">M$2*COS((PI()*M$1*$A81)/6)</f>
        <v>-0.00229496732002874</v>
      </c>
      <c r="N81" s="1" t="n">
        <f aca="false">N$2*SIN((PI()*N$1*$A81)/6)</f>
        <v>-0.00579200000000018</v>
      </c>
      <c r="O81" s="2" t="n">
        <f aca="false">O$2*(-1)^(A81)</f>
        <v>-0.114941</v>
      </c>
      <c r="P81" s="2" t="n">
        <f aca="false">100*LN(C81)</f>
        <v>446.666645173701</v>
      </c>
      <c r="Q81" s="2" t="n">
        <f aca="false">SUM(E81:O81)</f>
        <v>-0.266866785594938</v>
      </c>
      <c r="R81" s="2" t="n">
        <f aca="false">P81-Q81</f>
        <v>446.933511959296</v>
      </c>
      <c r="S81" s="1" t="n">
        <f aca="false">EXP(R81/100)</f>
        <v>87.2986605443241</v>
      </c>
      <c r="T81" s="2"/>
      <c r="U81" s="2"/>
      <c r="V81" s="4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L81" s="2"/>
      <c r="AM81" s="5"/>
      <c r="AN81" s="2"/>
      <c r="AO81" s="2"/>
      <c r="AP81" s="2"/>
      <c r="AR81" s="2"/>
      <c r="AS81" s="2"/>
      <c r="AT81" s="2"/>
      <c r="AU81" s="2"/>
      <c r="AW81" s="2"/>
      <c r="AX81" s="2"/>
      <c r="AY81" s="2"/>
      <c r="AZ81" s="2"/>
      <c r="BB81" s="2"/>
      <c r="BC81" s="2"/>
      <c r="BD81" s="2"/>
      <c r="BE81" s="2"/>
    </row>
    <row r="82" customFormat="false" ht="12.8" hidden="false" customHeight="false" outlineLevel="0" collapsed="false">
      <c r="A82" s="2" t="n">
        <v>80</v>
      </c>
      <c r="B82" s="2" t="s">
        <v>86</v>
      </c>
      <c r="C82" s="2" t="n">
        <v>86.879</v>
      </c>
      <c r="D82" s="2" t="n">
        <f aca="false">100*LN(C82)</f>
        <v>446.451634599047</v>
      </c>
      <c r="E82" s="2" t="n">
        <f aca="false">E$2*COS((PI()*E$1*$A82)/6)</f>
        <v>0.0804949999999999</v>
      </c>
      <c r="F82" s="2" t="n">
        <f aca="false">F$2*SIN((PI()*F$1*$A82)/6)</f>
        <v>0.143999240039661</v>
      </c>
      <c r="G82" s="1" t="n">
        <f aca="false">G$2*COS((PI()*G$1*$A82)/6)</f>
        <v>-0.1446345</v>
      </c>
      <c r="H82" s="1" t="n">
        <f aca="false">H$2*SIN((PI()*H$1*$A82)/6)</f>
        <v>-0.499983312392273</v>
      </c>
      <c r="I82" s="1" t="n">
        <f aca="false">I$2*COS((PI()*I$1*$A82)/6)</f>
        <v>0.086102</v>
      </c>
      <c r="J82" s="1" t="n">
        <f aca="false">J$2*SIN((PI()*J$1*$A82)/6)</f>
        <v>6.34834769751623E-016</v>
      </c>
      <c r="K82" s="1" t="n">
        <f aca="false">K$2*COS((PI()*K$1*$A82)/6)</f>
        <v>-0.0292829999999999</v>
      </c>
      <c r="L82" s="1" t="n">
        <f aca="false">L$2*SIN((PI()*L$1*$A82)/6)</f>
        <v>0.0149874356378935</v>
      </c>
      <c r="M82" s="1" t="n">
        <f aca="false">M$2*COS((PI()*M$1*$A82)/6)</f>
        <v>0.00132500000000002</v>
      </c>
      <c r="N82" s="1" t="n">
        <f aca="false">N$2*SIN((PI()*N$1*$A82)/6)</f>
        <v>0.0100320382774389</v>
      </c>
      <c r="O82" s="2" t="n">
        <f aca="false">O$2*(-1)^(A82)</f>
        <v>0.114941</v>
      </c>
      <c r="P82" s="2" t="n">
        <f aca="false">100*LN(C82)</f>
        <v>446.451634599047</v>
      </c>
      <c r="Q82" s="2" t="n">
        <f aca="false">SUM(E82:O82)</f>
        <v>-0.222019098437279</v>
      </c>
      <c r="R82" s="2" t="n">
        <f aca="false">P82-Q82</f>
        <v>446.673653697484</v>
      </c>
      <c r="S82" s="1" t="n">
        <f aca="false">EXP(R82/100)</f>
        <v>87.0721022551536</v>
      </c>
      <c r="T82" s="2"/>
      <c r="U82" s="2"/>
      <c r="V82" s="4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L82" s="2"/>
      <c r="AM82" s="5"/>
      <c r="AN82" s="2"/>
      <c r="AO82" s="2"/>
      <c r="AP82" s="2"/>
      <c r="AR82" s="2"/>
      <c r="AS82" s="2"/>
      <c r="AT82" s="2"/>
      <c r="AU82" s="2"/>
      <c r="AW82" s="2"/>
      <c r="AX82" s="2"/>
      <c r="AY82" s="2"/>
      <c r="AZ82" s="2"/>
      <c r="BB82" s="2"/>
      <c r="BC82" s="2"/>
      <c r="BD82" s="2"/>
      <c r="BE82" s="2"/>
    </row>
    <row r="83" customFormat="false" ht="12.8" hidden="false" customHeight="false" outlineLevel="0" collapsed="false">
      <c r="A83" s="2" t="n">
        <v>81</v>
      </c>
      <c r="B83" s="2" t="s">
        <v>87</v>
      </c>
      <c r="C83" s="2" t="n">
        <v>86.861</v>
      </c>
      <c r="D83" s="2" t="n">
        <f aca="false">100*LN(C83)</f>
        <v>446.430913981959</v>
      </c>
      <c r="E83" s="2" t="n">
        <f aca="false">E$2*COS((PI()*E$1*$A83)/6)</f>
        <v>5.52136136637935E-016</v>
      </c>
      <c r="F83" s="2" t="n">
        <f aca="false">F$2*SIN((PI()*F$1*$A83)/6)</f>
        <v>0.166276</v>
      </c>
      <c r="G83" s="1" t="n">
        <f aca="false">G$2*COS((PI()*G$1*$A83)/6)</f>
        <v>-0.289269</v>
      </c>
      <c r="H83" s="1" t="n">
        <f aca="false">H$2*SIN((PI()*H$1*$A83)/6)</f>
        <v>-3.96006345613163E-015</v>
      </c>
      <c r="I83" s="1" t="n">
        <f aca="false">I$2*COS((PI()*I$1*$A83)/6)</f>
        <v>-3.37689001194451E-016</v>
      </c>
      <c r="J83" s="1" t="n">
        <f aca="false">J$2*SIN((PI()*J$1*$A83)/6)</f>
        <v>-0.033221</v>
      </c>
      <c r="K83" s="1" t="n">
        <f aca="false">K$2*COS((PI()*K$1*$A83)/6)</f>
        <v>0.058566</v>
      </c>
      <c r="L83" s="1" t="n">
        <f aca="false">L$2*SIN((PI()*L$1*$A83)/6)</f>
        <v>2.37412708383281E-016</v>
      </c>
      <c r="M83" s="1" t="n">
        <f aca="false">M$2*COS((PI()*M$1*$A83)/6)</f>
        <v>4.54425977418016E-017</v>
      </c>
      <c r="N83" s="1" t="n">
        <f aca="false">N$2*SIN((PI()*N$1*$A83)/6)</f>
        <v>-0.011584</v>
      </c>
      <c r="O83" s="2" t="n">
        <f aca="false">O$2*(-1)^(A83)</f>
        <v>-0.114941</v>
      </c>
      <c r="P83" s="2" t="n">
        <f aca="false">100*LN(C83)</f>
        <v>446.430913981959</v>
      </c>
      <c r="Q83" s="2" t="n">
        <f aca="false">SUM(E83:O83)</f>
        <v>-0.224173000000003</v>
      </c>
      <c r="R83" s="2" t="n">
        <f aca="false">P83-Q83</f>
        <v>446.655086981959</v>
      </c>
      <c r="S83" s="1" t="n">
        <f aca="false">EXP(R83/100)</f>
        <v>87.0559373263205</v>
      </c>
      <c r="T83" s="2"/>
      <c r="U83" s="2"/>
      <c r="V83" s="4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L83" s="2"/>
      <c r="AM83" s="5"/>
      <c r="AN83" s="2"/>
      <c r="AO83" s="2"/>
      <c r="AP83" s="2"/>
      <c r="AR83" s="2"/>
      <c r="AS83" s="2"/>
      <c r="AT83" s="2"/>
      <c r="AU83" s="2"/>
      <c r="AW83" s="2"/>
      <c r="AX83" s="2"/>
      <c r="AY83" s="2"/>
      <c r="AZ83" s="2"/>
      <c r="BB83" s="2"/>
      <c r="BC83" s="2"/>
      <c r="BD83" s="2"/>
      <c r="BE83" s="2"/>
    </row>
    <row r="84" customFormat="false" ht="12.8" hidden="false" customHeight="false" outlineLevel="0" collapsed="false">
      <c r="A84" s="2" t="n">
        <v>82</v>
      </c>
      <c r="B84" s="2" t="s">
        <v>88</v>
      </c>
      <c r="C84" s="2" t="n">
        <v>87.16</v>
      </c>
      <c r="D84" s="2" t="n">
        <f aca="false">100*LN(C84)</f>
        <v>446.774551007642</v>
      </c>
      <c r="E84" s="2" t="n">
        <f aca="false">E$2*COS((PI()*E$1*$A84)/6)</f>
        <v>-0.0804949999999989</v>
      </c>
      <c r="F84" s="2" t="n">
        <f aca="false">F$2*SIN((PI()*F$1*$A84)/6)</f>
        <v>0.143999240039662</v>
      </c>
      <c r="G84" s="1" t="n">
        <f aca="false">G$2*COS((PI()*G$1*$A84)/6)</f>
        <v>-0.144634500000004</v>
      </c>
      <c r="H84" s="1" t="n">
        <f aca="false">H$2*SIN((PI()*H$1*$A84)/6)</f>
        <v>0.499983312392269</v>
      </c>
      <c r="I84" s="1" t="n">
        <f aca="false">I$2*COS((PI()*I$1*$A84)/6)</f>
        <v>-0.086102</v>
      </c>
      <c r="J84" s="1" t="n">
        <f aca="false">J$2*SIN((PI()*J$1*$A84)/6)</f>
        <v>-5.20878467759639E-016</v>
      </c>
      <c r="K84" s="1" t="n">
        <f aca="false">K$2*COS((PI()*K$1*$A84)/6)</f>
        <v>-0.0292829999999985</v>
      </c>
      <c r="L84" s="1" t="n">
        <f aca="false">L$2*SIN((PI()*L$1*$A84)/6)</f>
        <v>-0.0149874356378938</v>
      </c>
      <c r="M84" s="1" t="n">
        <f aca="false">M$2*COS((PI()*M$1*$A84)/6)</f>
        <v>-0.00132500000000004</v>
      </c>
      <c r="N84" s="1" t="n">
        <f aca="false">N$2*SIN((PI()*N$1*$A84)/6)</f>
        <v>0.0100320382774388</v>
      </c>
      <c r="O84" s="2" t="n">
        <f aca="false">O$2*(-1)^(A84)</f>
        <v>0.114941</v>
      </c>
      <c r="P84" s="2" t="n">
        <f aca="false">100*LN(C84)</f>
        <v>446.774551007642</v>
      </c>
      <c r="Q84" s="2" t="n">
        <f aca="false">SUM(E84:O84)</f>
        <v>0.412128655071475</v>
      </c>
      <c r="R84" s="2" t="n">
        <f aca="false">P84-Q84</f>
        <v>446.36242235257</v>
      </c>
      <c r="S84" s="1" t="n">
        <f aca="false">EXP(R84/100)</f>
        <v>86.8015278548424</v>
      </c>
      <c r="T84" s="2"/>
      <c r="U84" s="2"/>
      <c r="V84" s="4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L84" s="2"/>
      <c r="AM84" s="5"/>
      <c r="AN84" s="2"/>
      <c r="AO84" s="2"/>
      <c r="AP84" s="2"/>
      <c r="AR84" s="2"/>
      <c r="AS84" s="2"/>
      <c r="AT84" s="2"/>
      <c r="AU84" s="2"/>
      <c r="AW84" s="2"/>
      <c r="AX84" s="2"/>
      <c r="AY84" s="2"/>
      <c r="AZ84" s="2"/>
      <c r="BB84" s="2"/>
      <c r="BC84" s="2"/>
      <c r="BD84" s="2"/>
      <c r="BE84" s="2"/>
    </row>
    <row r="85" customFormat="false" ht="12.8" hidden="false" customHeight="false" outlineLevel="0" collapsed="false">
      <c r="A85" s="2" t="n">
        <v>83</v>
      </c>
      <c r="B85" s="2" t="s">
        <v>89</v>
      </c>
      <c r="C85" s="2" t="n">
        <v>86.79</v>
      </c>
      <c r="D85" s="2" t="n">
        <f aca="false">100*LN(C85)</f>
        <v>446.349140765615</v>
      </c>
      <c r="E85" s="2" t="n">
        <f aca="false">E$2*COS((PI()*E$1*$A85)/6)</f>
        <v>-0.139421429755257</v>
      </c>
      <c r="F85" s="2" t="n">
        <f aca="false">F$2*SIN((PI()*F$1*$A85)/6)</f>
        <v>0.0831379999999997</v>
      </c>
      <c r="G85" s="1" t="n">
        <f aca="false">G$2*COS((PI()*G$1*$A85)/6)</f>
        <v>0.144634500000001</v>
      </c>
      <c r="H85" s="1" t="n">
        <f aca="false">H$2*SIN((PI()*H$1*$A85)/6)</f>
        <v>0.499983312392272</v>
      </c>
      <c r="I85" s="1" t="n">
        <f aca="false">I$2*COS((PI()*I$1*$A85)/6)</f>
        <v>-1.81412572488013E-015</v>
      </c>
      <c r="J85" s="1" t="n">
        <f aca="false">J$2*SIN((PI()*J$1*$A85)/6)</f>
        <v>0.033221</v>
      </c>
      <c r="K85" s="1" t="n">
        <f aca="false">K$2*COS((PI()*K$1*$A85)/6)</f>
        <v>-0.0292829999999995</v>
      </c>
      <c r="L85" s="1" t="n">
        <f aca="false">L$2*SIN((PI()*L$1*$A85)/6)</f>
        <v>0.0149874356378936</v>
      </c>
      <c r="M85" s="1" t="n">
        <f aca="false">M$2*COS((PI()*M$1*$A85)/6)</f>
        <v>0.00229496732002878</v>
      </c>
      <c r="N85" s="1" t="n">
        <f aca="false">N$2*SIN((PI()*N$1*$A85)/6)</f>
        <v>-0.00579199999999984</v>
      </c>
      <c r="O85" s="2" t="n">
        <f aca="false">O$2*(-1)^(A85)</f>
        <v>-0.114941</v>
      </c>
      <c r="P85" s="2" t="n">
        <f aca="false">100*LN(C85)</f>
        <v>446.349140765615</v>
      </c>
      <c r="Q85" s="2" t="n">
        <f aca="false">SUM(E85:O85)</f>
        <v>0.488821785594937</v>
      </c>
      <c r="R85" s="2" t="n">
        <f aca="false">P85-Q85</f>
        <v>445.86031898002</v>
      </c>
      <c r="S85" s="1" t="n">
        <f aca="false">EXP(R85/100)</f>
        <v>86.3667867941684</v>
      </c>
      <c r="T85" s="2"/>
      <c r="U85" s="2"/>
      <c r="V85" s="4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L85" s="2"/>
      <c r="AM85" s="5"/>
      <c r="AN85" s="2"/>
      <c r="AO85" s="2"/>
      <c r="AP85" s="2"/>
      <c r="AR85" s="2"/>
      <c r="AS85" s="2"/>
      <c r="AT85" s="2"/>
      <c r="AU85" s="2"/>
      <c r="AW85" s="2"/>
      <c r="AX85" s="2"/>
      <c r="AY85" s="2"/>
      <c r="AZ85" s="2"/>
      <c r="BB85" s="2"/>
      <c r="BC85" s="2"/>
      <c r="BD85" s="2"/>
      <c r="BE85" s="2"/>
    </row>
    <row r="86" customFormat="false" ht="12.8" hidden="false" customHeight="false" outlineLevel="0" collapsed="false">
      <c r="A86" s="2" t="n">
        <v>84</v>
      </c>
      <c r="B86" s="2" t="s">
        <v>90</v>
      </c>
      <c r="C86" s="2" t="n">
        <v>86.345</v>
      </c>
      <c r="D86" s="2" t="n">
        <f aca="false">100*LN(C86)</f>
        <v>445.835089903663</v>
      </c>
      <c r="E86" s="2" t="n">
        <f aca="false">E$2*COS((PI()*E$1*$A86)/6)</f>
        <v>-0.16099</v>
      </c>
      <c r="F86" s="2" t="n">
        <f aca="false">F$2*SIN((PI()*F$1*$A86)/6)</f>
        <v>2.85081119645035E-016</v>
      </c>
      <c r="G86" s="1" t="n">
        <f aca="false">G$2*COS((PI()*G$1*$A86)/6)</f>
        <v>0.289269</v>
      </c>
      <c r="H86" s="1" t="n">
        <f aca="false">H$2*SIN((PI()*H$1*$A86)/6)</f>
        <v>1.97967437135591E-015</v>
      </c>
      <c r="I86" s="1" t="n">
        <f aca="false">I$2*COS((PI()*I$1*$A86)/6)</f>
        <v>0.086102</v>
      </c>
      <c r="J86" s="1" t="n">
        <f aca="false">J$2*SIN((PI()*J$1*$A86)/6)</f>
        <v>-6.51766387260712E-017</v>
      </c>
      <c r="K86" s="1" t="n">
        <f aca="false">K$2*COS((PI()*K$1*$A86)/6)</f>
        <v>0.058566</v>
      </c>
      <c r="L86" s="1" t="n">
        <f aca="false">L$2*SIN((PI()*L$1*$A86)/6)</f>
        <v>1.18684930033847E-016</v>
      </c>
      <c r="M86" s="1" t="n">
        <f aca="false">M$2*COS((PI()*M$1*$A86)/6)</f>
        <v>-0.00265</v>
      </c>
      <c r="N86" s="1" t="n">
        <f aca="false">N$2*SIN((PI()*N$1*$A86)/6)</f>
        <v>1.47623651882089E-016</v>
      </c>
      <c r="O86" s="2" t="n">
        <f aca="false">O$2*(-1)^(A86)</f>
        <v>0.114941</v>
      </c>
      <c r="P86" s="2" t="n">
        <f aca="false">100*LN(C86)</f>
        <v>445.835089903663</v>
      </c>
      <c r="Q86" s="2" t="n">
        <f aca="false">SUM(E86:O86)</f>
        <v>0.385238000000002</v>
      </c>
      <c r="R86" s="2" t="n">
        <f aca="false">P86-Q86</f>
        <v>445.449851903663</v>
      </c>
      <c r="S86" s="1" t="n">
        <f aca="false">EXP(R86/100)</f>
        <v>86.0130061427365</v>
      </c>
      <c r="T86" s="2"/>
      <c r="U86" s="2"/>
      <c r="V86" s="4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L86" s="2"/>
      <c r="AM86" s="5"/>
      <c r="AN86" s="2"/>
      <c r="AO86" s="2"/>
      <c r="AP86" s="2"/>
      <c r="AR86" s="2"/>
      <c r="AS86" s="2"/>
      <c r="AT86" s="2"/>
      <c r="AU86" s="2"/>
      <c r="AW86" s="2"/>
      <c r="AX86" s="2"/>
      <c r="AY86" s="2"/>
      <c r="AZ86" s="2"/>
      <c r="BB86" s="2"/>
      <c r="BC86" s="2"/>
      <c r="BD86" s="2"/>
      <c r="BE86" s="2"/>
    </row>
    <row r="87" customFormat="false" ht="12.8" hidden="false" customHeight="false" outlineLevel="0" collapsed="false">
      <c r="A87" s="2" t="n">
        <v>85</v>
      </c>
      <c r="B87" s="2" t="s">
        <v>91</v>
      </c>
      <c r="C87" s="2" t="n">
        <v>85.281</v>
      </c>
      <c r="D87" s="2" t="n">
        <f aca="false">100*LN(C87)</f>
        <v>444.595168642758</v>
      </c>
      <c r="E87" s="2" t="n">
        <f aca="false">E$2*COS((PI()*E$1*$A87)/6)</f>
        <v>-0.139421429755257</v>
      </c>
      <c r="F87" s="2" t="n">
        <f aca="false">F$2*SIN((PI()*F$1*$A87)/6)</f>
        <v>-0.0831380000000002</v>
      </c>
      <c r="G87" s="1" t="n">
        <f aca="false">G$2*COS((PI()*G$1*$A87)/6)</f>
        <v>0.144634499999999</v>
      </c>
      <c r="H87" s="1" t="n">
        <f aca="false">H$2*SIN((PI()*H$1*$A87)/6)</f>
        <v>-0.499983312392274</v>
      </c>
      <c r="I87" s="1" t="n">
        <f aca="false">I$2*COS((PI()*I$1*$A87)/6)</f>
        <v>2.95191412889748E-016</v>
      </c>
      <c r="J87" s="1" t="n">
        <f aca="false">J$2*SIN((PI()*J$1*$A87)/6)</f>
        <v>-0.033221</v>
      </c>
      <c r="K87" s="1" t="n">
        <f aca="false">K$2*COS((PI()*K$1*$A87)/6)</f>
        <v>-0.0292830000000002</v>
      </c>
      <c r="L87" s="1" t="n">
        <f aca="false">L$2*SIN((PI()*L$1*$A87)/6)</f>
        <v>-0.0149874356378935</v>
      </c>
      <c r="M87" s="1" t="n">
        <f aca="false">M$2*COS((PI()*M$1*$A87)/6)</f>
        <v>0.00229496732002874</v>
      </c>
      <c r="N87" s="1" t="n">
        <f aca="false">N$2*SIN((PI()*N$1*$A87)/6)</f>
        <v>0.00579200000000015</v>
      </c>
      <c r="O87" s="2" t="n">
        <f aca="false">O$2*(-1)^(A87)</f>
        <v>-0.114941</v>
      </c>
      <c r="P87" s="2" t="n">
        <f aca="false">100*LN(C87)</f>
        <v>444.595168642758</v>
      </c>
      <c r="Q87" s="2" t="n">
        <f aca="false">SUM(E87:O87)</f>
        <v>-0.762253710465396</v>
      </c>
      <c r="R87" s="2" t="n">
        <f aca="false">P87-Q87</f>
        <v>445.357422353224</v>
      </c>
      <c r="S87" s="1" t="n">
        <f aca="false">EXP(R87/100)</f>
        <v>85.9335414379314</v>
      </c>
      <c r="T87" s="2"/>
      <c r="U87" s="2"/>
      <c r="V87" s="4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L87" s="2"/>
      <c r="AM87" s="5"/>
      <c r="AN87" s="2"/>
      <c r="AO87" s="2"/>
      <c r="AP87" s="2"/>
      <c r="AR87" s="2"/>
      <c r="AS87" s="2"/>
      <c r="AT87" s="2"/>
      <c r="AU87" s="2"/>
      <c r="AW87" s="2"/>
      <c r="AX87" s="2"/>
      <c r="AY87" s="2"/>
      <c r="AZ87" s="2"/>
      <c r="BB87" s="2"/>
      <c r="BC87" s="2"/>
      <c r="BD87" s="2"/>
      <c r="BE87" s="2"/>
    </row>
    <row r="88" customFormat="false" ht="12.8" hidden="false" customHeight="false" outlineLevel="0" collapsed="false">
      <c r="A88" s="2" t="n">
        <v>86</v>
      </c>
      <c r="B88" s="2" t="s">
        <v>92</v>
      </c>
      <c r="C88" s="2" t="n">
        <v>85.29</v>
      </c>
      <c r="D88" s="2" t="n">
        <f aca="false">100*LN(C88)</f>
        <v>444.605721433102</v>
      </c>
      <c r="E88" s="2" t="n">
        <f aca="false">E$2*COS((PI()*E$1*$A88)/6)</f>
        <v>-0.0804950000000004</v>
      </c>
      <c r="F88" s="2" t="n">
        <f aca="false">F$2*SIN((PI()*F$1*$A88)/6)</f>
        <v>-0.143999240039661</v>
      </c>
      <c r="G88" s="1" t="n">
        <f aca="false">G$2*COS((PI()*G$1*$A88)/6)</f>
        <v>-0.144634499999999</v>
      </c>
      <c r="H88" s="1" t="n">
        <f aca="false">H$2*SIN((PI()*H$1*$A88)/6)</f>
        <v>-0.499983312392276</v>
      </c>
      <c r="I88" s="1" t="n">
        <f aca="false">I$2*COS((PI()*I$1*$A88)/6)</f>
        <v>-0.086102</v>
      </c>
      <c r="J88" s="1" t="n">
        <f aca="false">J$2*SIN((PI()*J$1*$A88)/6)</f>
        <v>-2.92965863775671E-016</v>
      </c>
      <c r="K88" s="1" t="n">
        <f aca="false">K$2*COS((PI()*K$1*$A88)/6)</f>
        <v>-0.0292830000000006</v>
      </c>
      <c r="L88" s="1" t="n">
        <f aca="false">L$2*SIN((PI()*L$1*$A88)/6)</f>
        <v>0.0149874356378934</v>
      </c>
      <c r="M88" s="1" t="n">
        <f aca="false">M$2*COS((PI()*M$1*$A88)/6)</f>
        <v>-0.00132499999999997</v>
      </c>
      <c r="N88" s="1" t="n">
        <f aca="false">N$2*SIN((PI()*N$1*$A88)/6)</f>
        <v>-0.010032038277439</v>
      </c>
      <c r="O88" s="2" t="n">
        <f aca="false">O$2*(-1)^(A88)</f>
        <v>0.114941</v>
      </c>
      <c r="P88" s="2" t="n">
        <f aca="false">100*LN(C88)</f>
        <v>444.605721433102</v>
      </c>
      <c r="Q88" s="2" t="n">
        <f aca="false">SUM(E88:O88)</f>
        <v>-0.865925655071482</v>
      </c>
      <c r="R88" s="2" t="n">
        <f aca="false">P88-Q88</f>
        <v>445.471647088173</v>
      </c>
      <c r="S88" s="1" t="n">
        <f aca="false">EXP(R88/100)</f>
        <v>86.0317548792146</v>
      </c>
      <c r="T88" s="2"/>
      <c r="U88" s="2"/>
      <c r="V88" s="4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L88" s="2"/>
      <c r="AM88" s="5"/>
      <c r="AN88" s="2"/>
      <c r="AO88" s="2"/>
      <c r="AP88" s="2"/>
      <c r="AR88" s="2"/>
      <c r="AS88" s="2"/>
      <c r="AT88" s="2"/>
      <c r="AU88" s="2"/>
      <c r="AW88" s="2"/>
      <c r="AX88" s="2"/>
      <c r="AY88" s="2"/>
      <c r="AZ88" s="2"/>
      <c r="BB88" s="2"/>
      <c r="BC88" s="2"/>
      <c r="BD88" s="2"/>
      <c r="BE88" s="2"/>
    </row>
    <row r="89" customFormat="false" ht="12.8" hidden="false" customHeight="false" outlineLevel="0" collapsed="false">
      <c r="A89" s="2" t="n">
        <v>87</v>
      </c>
      <c r="B89" s="2" t="s">
        <v>93</v>
      </c>
      <c r="C89" s="2" t="n">
        <v>85.43</v>
      </c>
      <c r="D89" s="2" t="n">
        <f aca="false">100*LN(C89)</f>
        <v>444.769732716353</v>
      </c>
      <c r="E89" s="2" t="n">
        <f aca="false">E$2*COS((PI()*E$1*$A89)/6)</f>
        <v>-1.1438031006075E-015</v>
      </c>
      <c r="F89" s="2" t="n">
        <f aca="false">F$2*SIN((PI()*F$1*$A89)/6)</f>
        <v>-0.166276</v>
      </c>
      <c r="G89" s="1" t="n">
        <f aca="false">G$2*COS((PI()*G$1*$A89)/6)</f>
        <v>-0.289269</v>
      </c>
      <c r="H89" s="1" t="n">
        <f aca="false">H$2*SIN((PI()*H$1*$A89)/6)</f>
        <v>-8.20365225016248E-015</v>
      </c>
      <c r="I89" s="1" t="n">
        <f aca="false">I$2*COS((PI()*I$1*$A89)/6)</f>
        <v>-1.22342312627601E-015</v>
      </c>
      <c r="J89" s="1" t="n">
        <f aca="false">J$2*SIN((PI()*J$1*$A89)/6)</f>
        <v>0.033221</v>
      </c>
      <c r="K89" s="1" t="n">
        <f aca="false">K$2*COS((PI()*K$1*$A89)/6)</f>
        <v>0.058566</v>
      </c>
      <c r="L89" s="1" t="n">
        <f aca="false">L$2*SIN((PI()*L$1*$A89)/6)</f>
        <v>4.91823255086985E-016</v>
      </c>
      <c r="M89" s="1" t="n">
        <f aca="false">M$2*COS((PI()*M$1*$A89)/6)</f>
        <v>-3.76505635018505E-017</v>
      </c>
      <c r="N89" s="1" t="n">
        <f aca="false">N$2*SIN((PI()*N$1*$A89)/6)</f>
        <v>0.011584</v>
      </c>
      <c r="O89" s="2" t="n">
        <f aca="false">O$2*(-1)^(A89)</f>
        <v>-0.114941</v>
      </c>
      <c r="P89" s="2" t="n">
        <f aca="false">100*LN(C89)</f>
        <v>444.769732716353</v>
      </c>
      <c r="Q89" s="2" t="n">
        <f aca="false">SUM(E89:O89)</f>
        <v>-0.46711500000001</v>
      </c>
      <c r="R89" s="2" t="n">
        <f aca="false">P89-Q89</f>
        <v>445.236847716353</v>
      </c>
      <c r="S89" s="1" t="n">
        <f aca="false">EXP(R89/100)</f>
        <v>85.8299898234293</v>
      </c>
      <c r="T89" s="2"/>
      <c r="U89" s="2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L89" s="2"/>
      <c r="AM89" s="5"/>
      <c r="AN89" s="2"/>
      <c r="AO89" s="2"/>
      <c r="AP89" s="2"/>
      <c r="AR89" s="2"/>
      <c r="AS89" s="2"/>
      <c r="AT89" s="2"/>
      <c r="AU89" s="2"/>
      <c r="AW89" s="2"/>
      <c r="AX89" s="2"/>
      <c r="AY89" s="2"/>
      <c r="AZ89" s="2"/>
      <c r="BB89" s="2"/>
      <c r="BC89" s="2"/>
      <c r="BD89" s="2"/>
      <c r="BE89" s="2"/>
    </row>
    <row r="90" customFormat="false" ht="12.8" hidden="false" customHeight="false" outlineLevel="0" collapsed="false">
      <c r="A90" s="2" t="n">
        <v>88</v>
      </c>
      <c r="B90" s="2" t="s">
        <v>94</v>
      </c>
      <c r="C90" s="2" t="n">
        <v>86.264</v>
      </c>
      <c r="D90" s="2" t="n">
        <f aca="false">100*LN(C90)</f>
        <v>445.741236157977</v>
      </c>
      <c r="E90" s="2" t="n">
        <f aca="false">E$2*COS((PI()*E$1*$A90)/6)</f>
        <v>0.0804949999999994</v>
      </c>
      <c r="F90" s="2" t="n">
        <f aca="false">F$2*SIN((PI()*F$1*$A90)/6)</f>
        <v>-0.143999240039662</v>
      </c>
      <c r="G90" s="1" t="n">
        <f aca="false">G$2*COS((PI()*G$1*$A90)/6)</f>
        <v>-0.144634500000002</v>
      </c>
      <c r="H90" s="1" t="n">
        <f aca="false">H$2*SIN((PI()*H$1*$A90)/6)</f>
        <v>0.499983312392271</v>
      </c>
      <c r="I90" s="1" t="n">
        <f aca="false">I$2*COS((PI()*I$1*$A90)/6)</f>
        <v>0.086102</v>
      </c>
      <c r="J90" s="1" t="n">
        <f aca="false">J$2*SIN((PI()*J$1*$A90)/6)</f>
        <v>-2.93089242710039E-016</v>
      </c>
      <c r="K90" s="1" t="n">
        <f aca="false">K$2*COS((PI()*K$1*$A90)/6)</f>
        <v>-0.0292829999999992</v>
      </c>
      <c r="L90" s="1" t="n">
        <f aca="false">L$2*SIN((PI()*L$1*$A90)/6)</f>
        <v>-0.0149874356378936</v>
      </c>
      <c r="M90" s="1" t="n">
        <f aca="false">M$2*COS((PI()*M$1*$A90)/6)</f>
        <v>0.00132499999999997</v>
      </c>
      <c r="N90" s="1" t="n">
        <f aca="false">N$2*SIN((PI()*N$1*$A90)/6)</f>
        <v>-0.010032038277439</v>
      </c>
      <c r="O90" s="2" t="n">
        <f aca="false">O$2*(-1)^(A90)</f>
        <v>0.114941</v>
      </c>
      <c r="P90" s="2" t="n">
        <f aca="false">100*LN(C90)</f>
        <v>445.741236157977</v>
      </c>
      <c r="Q90" s="2" t="n">
        <f aca="false">SUM(E90:O90)</f>
        <v>0.439910098437275</v>
      </c>
      <c r="R90" s="2" t="n">
        <f aca="false">P90-Q90</f>
        <v>445.30132605954</v>
      </c>
      <c r="S90" s="1" t="n">
        <f aca="false">EXP(R90/100)</f>
        <v>85.8853494243839</v>
      </c>
      <c r="T90" s="2"/>
      <c r="U90" s="2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L90" s="2"/>
      <c r="AM90" s="5"/>
      <c r="AN90" s="2"/>
      <c r="AO90" s="2"/>
      <c r="AP90" s="2"/>
      <c r="AR90" s="2"/>
      <c r="AS90" s="2"/>
      <c r="AT90" s="2"/>
      <c r="AU90" s="2"/>
      <c r="AW90" s="2"/>
      <c r="AX90" s="2"/>
      <c r="AY90" s="2"/>
      <c r="AZ90" s="2"/>
      <c r="BB90" s="2"/>
      <c r="BC90" s="2"/>
      <c r="BD90" s="2"/>
      <c r="BE90" s="2"/>
    </row>
    <row r="91" customFormat="false" ht="12.8" hidden="false" customHeight="false" outlineLevel="0" collapsed="false">
      <c r="A91" s="2" t="n">
        <v>89</v>
      </c>
      <c r="B91" s="2" t="s">
        <v>95</v>
      </c>
      <c r="C91" s="2" t="n">
        <v>86.234</v>
      </c>
      <c r="D91" s="2" t="n">
        <f aca="false">100*LN(C91)</f>
        <v>445.706453145649</v>
      </c>
      <c r="E91" s="2" t="n">
        <f aca="false">E$2*COS((PI()*E$1*$A91)/6)</f>
        <v>0.139421429755257</v>
      </c>
      <c r="F91" s="2" t="n">
        <f aca="false">F$2*SIN((PI()*F$1*$A91)/6)</f>
        <v>-0.0831380000000002</v>
      </c>
      <c r="G91" s="1" t="n">
        <f aca="false">G$2*COS((PI()*G$1*$A91)/6)</f>
        <v>0.144634499999999</v>
      </c>
      <c r="H91" s="1" t="n">
        <f aca="false">H$2*SIN((PI()*H$1*$A91)/6)</f>
        <v>0.499983312392274</v>
      </c>
      <c r="I91" s="1" t="n">
        <f aca="false">I$2*COS((PI()*I$1*$A91)/6)</f>
        <v>-2.95511185714377E-016</v>
      </c>
      <c r="J91" s="1" t="n">
        <f aca="false">J$2*SIN((PI()*J$1*$A91)/6)</f>
        <v>-0.033221</v>
      </c>
      <c r="K91" s="1" t="n">
        <f aca="false">K$2*COS((PI()*K$1*$A91)/6)</f>
        <v>-0.0292830000000002</v>
      </c>
      <c r="L91" s="1" t="n">
        <f aca="false">L$2*SIN((PI()*L$1*$A91)/6)</f>
        <v>0.0149874356378935</v>
      </c>
      <c r="M91" s="1" t="n">
        <f aca="false">M$2*COS((PI()*M$1*$A91)/6)</f>
        <v>-0.00229496732002878</v>
      </c>
      <c r="N91" s="1" t="n">
        <f aca="false">N$2*SIN((PI()*N$1*$A91)/6)</f>
        <v>0.00579199999999987</v>
      </c>
      <c r="O91" s="2" t="n">
        <f aca="false">O$2*(-1)^(A91)</f>
        <v>-0.114941</v>
      </c>
      <c r="P91" s="2" t="n">
        <f aca="false">100*LN(C91)</f>
        <v>445.706453145649</v>
      </c>
      <c r="Q91" s="2" t="n">
        <f aca="false">SUM(E91:O91)</f>
        <v>0.541940710465394</v>
      </c>
      <c r="R91" s="2" t="n">
        <f aca="false">P91-Q91</f>
        <v>445.164512435184</v>
      </c>
      <c r="S91" s="1" t="n">
        <f aca="false">EXP(R91/100)</f>
        <v>85.7679269083616</v>
      </c>
      <c r="T91" s="2"/>
      <c r="U91" s="2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L91" s="2"/>
      <c r="AM91" s="5"/>
      <c r="AN91" s="2"/>
      <c r="AO91" s="2"/>
      <c r="AP91" s="2"/>
      <c r="AR91" s="2"/>
      <c r="AS91" s="2"/>
      <c r="AT91" s="2"/>
      <c r="AU91" s="2"/>
      <c r="AW91" s="2"/>
      <c r="AX91" s="2"/>
      <c r="AY91" s="2"/>
      <c r="AZ91" s="2"/>
      <c r="BB91" s="2"/>
      <c r="BC91" s="2"/>
      <c r="BD91" s="2"/>
      <c r="BE91" s="2"/>
    </row>
    <row r="92" customFormat="false" ht="12.8" hidden="false" customHeight="false" outlineLevel="0" collapsed="false">
      <c r="A92" s="2" t="n">
        <v>90</v>
      </c>
      <c r="B92" s="2" t="s">
        <v>96</v>
      </c>
      <c r="C92" s="2" t="n">
        <v>86.614</v>
      </c>
      <c r="D92" s="2" t="n">
        <f aca="false">100*LN(C92)</f>
        <v>446.146146531992</v>
      </c>
      <c r="E92" s="2" t="n">
        <f aca="false">E$2*COS((PI()*E$1*$A92)/6)</f>
        <v>0.16099</v>
      </c>
      <c r="F92" s="2" t="n">
        <f aca="false">F$2*SIN((PI()*F$1*$A92)/6)</f>
        <v>2.85286962893694E-016</v>
      </c>
      <c r="G92" s="1" t="n">
        <f aca="false">G$2*COS((PI()*G$1*$A92)/6)</f>
        <v>0.289269</v>
      </c>
      <c r="H92" s="1" t="n">
        <f aca="false">H$2*SIN((PI()*H$1*$A92)/6)</f>
        <v>-1.98110379819552E-015</v>
      </c>
      <c r="I92" s="1" t="n">
        <f aca="false">I$2*COS((PI()*I$1*$A92)/6)</f>
        <v>-0.086102</v>
      </c>
      <c r="J92" s="1" t="n">
        <f aca="false">J$2*SIN((PI()*J$1*$A92)/6)</f>
        <v>-6.50532597917025E-017</v>
      </c>
      <c r="K92" s="1" t="n">
        <f aca="false">K$2*COS((PI()*K$1*$A92)/6)</f>
        <v>0.058566</v>
      </c>
      <c r="L92" s="1" t="n">
        <f aca="false">L$2*SIN((PI()*L$1*$A92)/6)</f>
        <v>-1.18770626665021E-016</v>
      </c>
      <c r="M92" s="1" t="n">
        <f aca="false">M$2*COS((PI()*M$1*$A92)/6)</f>
        <v>0.00265</v>
      </c>
      <c r="N92" s="1" t="n">
        <f aca="false">N$2*SIN((PI()*N$1*$A92)/6)</f>
        <v>1.47551949165147E-016</v>
      </c>
      <c r="O92" s="2" t="n">
        <f aca="false">O$2*(-1)^(A92)</f>
        <v>0.114941</v>
      </c>
      <c r="P92" s="2" t="n">
        <f aca="false">100*LN(C92)</f>
        <v>446.146146531992</v>
      </c>
      <c r="Q92" s="2" t="n">
        <f aca="false">SUM(E92:O92)</f>
        <v>0.540313999999998</v>
      </c>
      <c r="R92" s="2" t="n">
        <f aca="false">P92-Q92</f>
        <v>445.605832531992</v>
      </c>
      <c r="S92" s="1" t="n">
        <f aca="false">EXP(R92/100)</f>
        <v>86.1472744592211</v>
      </c>
      <c r="T92" s="2"/>
      <c r="U92" s="2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L92" s="2"/>
      <c r="AM92" s="5"/>
      <c r="AN92" s="2"/>
      <c r="AO92" s="2"/>
      <c r="AP92" s="2"/>
      <c r="AR92" s="2"/>
      <c r="AS92" s="2"/>
      <c r="AT92" s="2"/>
      <c r="AU92" s="2"/>
      <c r="AW92" s="2"/>
      <c r="AX92" s="2"/>
      <c r="AY92" s="2"/>
      <c r="AZ92" s="2"/>
      <c r="BB92" s="2"/>
      <c r="BC92" s="2"/>
      <c r="BD92" s="2"/>
      <c r="BE92" s="2"/>
    </row>
    <row r="93" customFormat="false" ht="12.8" hidden="false" customHeight="false" outlineLevel="0" collapsed="false">
      <c r="A93" s="2" t="n">
        <v>91</v>
      </c>
      <c r="B93" s="2" t="s">
        <v>97</v>
      </c>
      <c r="C93" s="2" t="n">
        <v>85.874</v>
      </c>
      <c r="D93" s="2" t="n">
        <f aca="false">100*LN(C93)</f>
        <v>445.288110564211</v>
      </c>
      <c r="E93" s="2" t="n">
        <f aca="false">E$2*COS((PI()*E$1*$A93)/6)</f>
        <v>0.139421429755257</v>
      </c>
      <c r="F93" s="2" t="n">
        <f aca="false">F$2*SIN((PI()*F$1*$A93)/6)</f>
        <v>0.0831379999999997</v>
      </c>
      <c r="G93" s="1" t="n">
        <f aca="false">G$2*COS((PI()*G$1*$A93)/6)</f>
        <v>0.144634500000001</v>
      </c>
      <c r="H93" s="1" t="n">
        <f aca="false">H$2*SIN((PI()*H$1*$A93)/6)</f>
        <v>-0.499983312392272</v>
      </c>
      <c r="I93" s="1" t="n">
        <f aca="false">I$2*COS((PI()*I$1*$A93)/6)</f>
        <v>-6.32720527671884E-016</v>
      </c>
      <c r="J93" s="1" t="n">
        <f aca="false">J$2*SIN((PI()*J$1*$A93)/6)</f>
        <v>0.033221</v>
      </c>
      <c r="K93" s="1" t="n">
        <f aca="false">K$2*COS((PI()*K$1*$A93)/6)</f>
        <v>-0.0292829999999995</v>
      </c>
      <c r="L93" s="1" t="n">
        <f aca="false">L$2*SIN((PI()*L$1*$A93)/6)</f>
        <v>-0.0149874356378936</v>
      </c>
      <c r="M93" s="1" t="n">
        <f aca="false">M$2*COS((PI()*M$1*$A93)/6)</f>
        <v>-0.00229496732002875</v>
      </c>
      <c r="N93" s="1" t="n">
        <f aca="false">N$2*SIN((PI()*N$1*$A93)/6)</f>
        <v>-0.00579200000000012</v>
      </c>
      <c r="O93" s="2" t="n">
        <f aca="false">O$2*(-1)^(A93)</f>
        <v>-0.114941</v>
      </c>
      <c r="P93" s="2" t="n">
        <f aca="false">100*LN(C93)</f>
        <v>445.288110564211</v>
      </c>
      <c r="Q93" s="2" t="n">
        <f aca="false">SUM(E93:O93)</f>
        <v>-0.266866785594937</v>
      </c>
      <c r="R93" s="2" t="n">
        <f aca="false">P93-Q93</f>
        <v>445.554977349806</v>
      </c>
      <c r="S93" s="1" t="n">
        <f aca="false">EXP(R93/100)</f>
        <v>86.1034752438758</v>
      </c>
      <c r="T93" s="2"/>
      <c r="U93" s="2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L93" s="2"/>
      <c r="AM93" s="5"/>
      <c r="AN93" s="2"/>
      <c r="AO93" s="2"/>
      <c r="AP93" s="2"/>
      <c r="AR93" s="2"/>
      <c r="AS93" s="2"/>
      <c r="AT93" s="2"/>
      <c r="AU93" s="2"/>
      <c r="AW93" s="2"/>
      <c r="AX93" s="2"/>
      <c r="AY93" s="2"/>
      <c r="AZ93" s="2"/>
      <c r="BB93" s="2"/>
      <c r="BC93" s="2"/>
      <c r="BD93" s="2"/>
      <c r="BE93" s="2"/>
    </row>
    <row r="94" customFormat="false" ht="12.8" hidden="false" customHeight="false" outlineLevel="0" collapsed="false">
      <c r="A94" s="2" t="n">
        <v>92</v>
      </c>
      <c r="B94" s="2" t="s">
        <v>98</v>
      </c>
      <c r="C94" s="2" t="n">
        <v>86.174</v>
      </c>
      <c r="D94" s="2" t="n">
        <f aca="false">100*LN(C94)</f>
        <v>445.636850804201</v>
      </c>
      <c r="E94" s="2" t="n">
        <f aca="false">E$2*COS((PI()*E$1*$A94)/6)</f>
        <v>0.0804950000000009</v>
      </c>
      <c r="F94" s="2" t="n">
        <f aca="false">F$2*SIN((PI()*F$1*$A94)/6)</f>
        <v>0.143999240039661</v>
      </c>
      <c r="G94" s="1" t="n">
        <f aca="false">G$2*COS((PI()*G$1*$A94)/6)</f>
        <v>-0.144634499999997</v>
      </c>
      <c r="H94" s="1" t="n">
        <f aca="false">H$2*SIN((PI()*H$1*$A94)/6)</f>
        <v>-0.499983312392278</v>
      </c>
      <c r="I94" s="1" t="n">
        <f aca="false">I$2*COS((PI()*I$1*$A94)/6)</f>
        <v>0.086102</v>
      </c>
      <c r="J94" s="1" t="n">
        <f aca="false">J$2*SIN((PI()*J$1*$A94)/6)</f>
        <v>4.23195762293444E-016</v>
      </c>
      <c r="K94" s="1" t="n">
        <f aca="false">K$2*COS((PI()*K$1*$A94)/6)</f>
        <v>-0.0292830000000013</v>
      </c>
      <c r="L94" s="1" t="n">
        <f aca="false">L$2*SIN((PI()*L$1*$A94)/6)</f>
        <v>0.0149874356378933</v>
      </c>
      <c r="M94" s="1" t="n">
        <f aca="false">M$2*COS((PI()*M$1*$A94)/6)</f>
        <v>0.00132500000000004</v>
      </c>
      <c r="N94" s="1" t="n">
        <f aca="false">N$2*SIN((PI()*N$1*$A94)/6)</f>
        <v>0.0100320382774388</v>
      </c>
      <c r="O94" s="2" t="n">
        <f aca="false">O$2*(-1)^(A94)</f>
        <v>0.114941</v>
      </c>
      <c r="P94" s="2" t="n">
        <f aca="false">100*LN(C94)</f>
        <v>445.636850804201</v>
      </c>
      <c r="Q94" s="2" t="n">
        <f aca="false">SUM(E94:O94)</f>
        <v>-0.222019098437281</v>
      </c>
      <c r="R94" s="2" t="n">
        <f aca="false">P94-Q94</f>
        <v>445.858869902638</v>
      </c>
      <c r="S94" s="1" t="n">
        <f aca="false">EXP(R94/100)</f>
        <v>86.3655352816631</v>
      </c>
      <c r="T94" s="2"/>
      <c r="U94" s="2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L94" s="2"/>
      <c r="AM94" s="5"/>
      <c r="AN94" s="2"/>
      <c r="AO94" s="2"/>
      <c r="AP94" s="2"/>
      <c r="AR94" s="2"/>
      <c r="AS94" s="2"/>
      <c r="AT94" s="2"/>
      <c r="AU94" s="2"/>
      <c r="AW94" s="2"/>
      <c r="AX94" s="2"/>
      <c r="AY94" s="2"/>
      <c r="AZ94" s="2"/>
      <c r="BB94" s="2"/>
      <c r="BC94" s="2"/>
      <c r="BD94" s="2"/>
      <c r="BE94" s="2"/>
    </row>
    <row r="95" customFormat="false" ht="12.8" hidden="false" customHeight="false" outlineLevel="0" collapsed="false">
      <c r="A95" s="2" t="n">
        <v>93</v>
      </c>
      <c r="B95" s="2" t="s">
        <v>99</v>
      </c>
      <c r="C95" s="2" t="n">
        <v>85.971</v>
      </c>
      <c r="D95" s="2" t="n">
        <f aca="false">100*LN(C95)</f>
        <v>445.401003008334</v>
      </c>
      <c r="E95" s="2" t="n">
        <f aca="false">E$2*COS((PI()*E$1*$A95)/6)</f>
        <v>5.91567314276881E-016</v>
      </c>
      <c r="F95" s="2" t="n">
        <f aca="false">F$2*SIN((PI()*F$1*$A95)/6)</f>
        <v>0.166276</v>
      </c>
      <c r="G95" s="1" t="n">
        <f aca="false">G$2*COS((PI()*G$1*$A95)/6)</f>
        <v>-0.289269</v>
      </c>
      <c r="H95" s="1" t="n">
        <f aca="false">H$2*SIN((PI()*H$1*$A95)/6)</f>
        <v>-4.24287408061105E-015</v>
      </c>
      <c r="I95" s="1" t="n">
        <f aca="false">I$2*COS((PI()*I$1*$A95)/6)</f>
        <v>1.56095224105814E-015</v>
      </c>
      <c r="J95" s="1" t="n">
        <f aca="false">J$2*SIN((PI()*J$1*$A95)/6)</f>
        <v>-0.033221</v>
      </c>
      <c r="K95" s="1" t="n">
        <f aca="false">K$2*COS((PI()*K$1*$A95)/6)</f>
        <v>0.058566</v>
      </c>
      <c r="L95" s="1" t="n">
        <f aca="false">L$2*SIN((PI()*L$1*$A95)/6)</f>
        <v>2.54367698388116E-016</v>
      </c>
      <c r="M95" s="1" t="n">
        <f aca="false">M$2*COS((PI()*M$1*$A95)/6)</f>
        <v>2.98585292618994E-017</v>
      </c>
      <c r="N95" s="1" t="n">
        <f aca="false">N$2*SIN((PI()*N$1*$A95)/6)</f>
        <v>-0.011584</v>
      </c>
      <c r="O95" s="2" t="n">
        <f aca="false">O$2*(-1)^(A95)</f>
        <v>-0.114941</v>
      </c>
      <c r="P95" s="2" t="n">
        <f aca="false">100*LN(C95)</f>
        <v>445.401003008334</v>
      </c>
      <c r="Q95" s="2" t="n">
        <f aca="false">SUM(E95:O95)</f>
        <v>-0.224173000000002</v>
      </c>
      <c r="R95" s="2" t="n">
        <f aca="false">P95-Q95</f>
        <v>445.625176008334</v>
      </c>
      <c r="S95" s="1" t="n">
        <f aca="false">EXP(R95/100)</f>
        <v>86.1639399486662</v>
      </c>
      <c r="T95" s="2"/>
      <c r="U95" s="2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L95" s="2"/>
      <c r="AM95" s="5"/>
      <c r="AN95" s="2"/>
      <c r="AO95" s="2"/>
      <c r="AP95" s="2"/>
      <c r="AR95" s="2"/>
      <c r="AS95" s="2"/>
      <c r="AT95" s="2"/>
      <c r="AU95" s="2"/>
      <c r="AW95" s="2"/>
      <c r="AX95" s="2"/>
      <c r="AY95" s="2"/>
      <c r="AZ95" s="2"/>
      <c r="BB95" s="2"/>
      <c r="BC95" s="2"/>
      <c r="BD95" s="2"/>
      <c r="BE95" s="2"/>
    </row>
    <row r="96" customFormat="false" ht="12.8" hidden="false" customHeight="false" outlineLevel="0" collapsed="false">
      <c r="A96" s="2" t="n">
        <v>94</v>
      </c>
      <c r="B96" s="2" t="s">
        <v>100</v>
      </c>
      <c r="C96" s="2" t="n">
        <v>86.584</v>
      </c>
      <c r="D96" s="2" t="n">
        <f aca="false">100*LN(C96)</f>
        <v>446.111504099285</v>
      </c>
      <c r="E96" s="2" t="n">
        <f aca="false">E$2*COS((PI()*E$1*$A96)/6)</f>
        <v>-0.0804949999999999</v>
      </c>
      <c r="F96" s="2" t="n">
        <f aca="false">F$2*SIN((PI()*F$1*$A96)/6)</f>
        <v>0.143999240039661</v>
      </c>
      <c r="G96" s="1" t="n">
        <f aca="false">G$2*COS((PI()*G$1*$A96)/6)</f>
        <v>-0.1446345</v>
      </c>
      <c r="H96" s="1" t="n">
        <f aca="false">H$2*SIN((PI()*H$1*$A96)/6)</f>
        <v>0.499983312392273</v>
      </c>
      <c r="I96" s="1" t="n">
        <f aca="false">I$2*COS((PI()*I$1*$A96)/6)</f>
        <v>-0.086102</v>
      </c>
      <c r="J96" s="1" t="n">
        <f aca="false">J$2*SIN((PI()*J$1*$A96)/6)</f>
        <v>-7.81338264795186E-016</v>
      </c>
      <c r="K96" s="1" t="n">
        <f aca="false">K$2*COS((PI()*K$1*$A96)/6)</f>
        <v>-0.0292829999999999</v>
      </c>
      <c r="L96" s="1" t="n">
        <f aca="false">L$2*SIN((PI()*L$1*$A96)/6)</f>
        <v>-0.0149874356378935</v>
      </c>
      <c r="M96" s="1" t="n">
        <f aca="false">M$2*COS((PI()*M$1*$A96)/6)</f>
        <v>-0.00132500000000002</v>
      </c>
      <c r="N96" s="1" t="n">
        <f aca="false">N$2*SIN((PI()*N$1*$A96)/6)</f>
        <v>0.0100320382774389</v>
      </c>
      <c r="O96" s="2" t="n">
        <f aca="false">O$2*(-1)^(A96)</f>
        <v>0.114941</v>
      </c>
      <c r="P96" s="2" t="n">
        <f aca="false">100*LN(C96)</f>
        <v>446.111504099285</v>
      </c>
      <c r="Q96" s="2" t="n">
        <f aca="false">SUM(E96:O96)</f>
        <v>0.412128655071479</v>
      </c>
      <c r="R96" s="2" t="n">
        <f aca="false">P96-Q96</f>
        <v>445.699375444213</v>
      </c>
      <c r="S96" s="1" t="n">
        <f aca="false">EXP(R96/100)</f>
        <v>86.2278968309279</v>
      </c>
      <c r="T96" s="2"/>
      <c r="U96" s="2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L96" s="2"/>
      <c r="AM96" s="5"/>
      <c r="AN96" s="2"/>
      <c r="AO96" s="2"/>
      <c r="AP96" s="2"/>
      <c r="AR96" s="2"/>
      <c r="AS96" s="2"/>
      <c r="AT96" s="2"/>
      <c r="AU96" s="2"/>
      <c r="AW96" s="2"/>
      <c r="AX96" s="2"/>
      <c r="AY96" s="2"/>
      <c r="AZ96" s="2"/>
      <c r="BB96" s="2"/>
      <c r="BC96" s="2"/>
      <c r="BD96" s="2"/>
      <c r="BE96" s="2"/>
    </row>
    <row r="97" customFormat="false" ht="12.8" hidden="false" customHeight="false" outlineLevel="0" collapsed="false">
      <c r="A97" s="2" t="n">
        <v>95</v>
      </c>
      <c r="B97" s="2" t="s">
        <v>101</v>
      </c>
      <c r="C97" s="2" t="n">
        <v>87.053</v>
      </c>
      <c r="D97" s="2" t="n">
        <f aca="false">100*LN(C97)</f>
        <v>446.651712857269</v>
      </c>
      <c r="E97" s="2" t="n">
        <f aca="false">E$2*COS((PI()*E$1*$A97)/6)</f>
        <v>-0.139421429755257</v>
      </c>
      <c r="F97" s="2" t="n">
        <f aca="false">F$2*SIN((PI()*F$1*$A97)/6)</f>
        <v>0.0831379999999997</v>
      </c>
      <c r="G97" s="1" t="n">
        <f aca="false">G$2*COS((PI()*G$1*$A97)/6)</f>
        <v>0.144634500000001</v>
      </c>
      <c r="H97" s="1" t="n">
        <f aca="false">H$2*SIN((PI()*H$1*$A97)/6)</f>
        <v>0.499983312392273</v>
      </c>
      <c r="I97" s="1" t="n">
        <f aca="false">I$2*COS((PI()*I$1*$A97)/6)</f>
        <v>-4.20179290677596E-017</v>
      </c>
      <c r="J97" s="1" t="n">
        <f aca="false">J$2*SIN((PI()*J$1*$A97)/6)</f>
        <v>0.033221</v>
      </c>
      <c r="K97" s="1" t="n">
        <f aca="false">K$2*COS((PI()*K$1*$A97)/6)</f>
        <v>-0.0292829999999996</v>
      </c>
      <c r="L97" s="1" t="n">
        <f aca="false">L$2*SIN((PI()*L$1*$A97)/6)</f>
        <v>0.0149874356378936</v>
      </c>
      <c r="M97" s="1" t="n">
        <f aca="false">M$2*COS((PI()*M$1*$A97)/6)</f>
        <v>0.00229496732002878</v>
      </c>
      <c r="N97" s="1" t="n">
        <f aca="false">N$2*SIN((PI()*N$1*$A97)/6)</f>
        <v>-0.0057919999999999</v>
      </c>
      <c r="O97" s="2" t="n">
        <f aca="false">O$2*(-1)^(A97)</f>
        <v>-0.114941</v>
      </c>
      <c r="P97" s="2" t="n">
        <f aca="false">100*LN(C97)</f>
        <v>446.651712857269</v>
      </c>
      <c r="Q97" s="2" t="n">
        <f aca="false">SUM(E97:O97)</f>
        <v>0.488821785594939</v>
      </c>
      <c r="R97" s="2" t="n">
        <f aca="false">P97-Q97</f>
        <v>446.162891071674</v>
      </c>
      <c r="S97" s="1" t="n">
        <f aca="false">EXP(R97/100)</f>
        <v>86.6285043299084</v>
      </c>
      <c r="T97" s="2"/>
      <c r="U97" s="2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L97" s="2"/>
      <c r="AM97" s="5"/>
      <c r="AN97" s="2"/>
      <c r="AO97" s="2"/>
      <c r="AP97" s="2"/>
      <c r="AR97" s="2"/>
      <c r="AS97" s="2"/>
      <c r="AT97" s="2"/>
      <c r="AU97" s="2"/>
      <c r="AW97" s="2"/>
      <c r="AX97" s="2"/>
      <c r="AY97" s="2"/>
      <c r="AZ97" s="2"/>
      <c r="BB97" s="2"/>
      <c r="BC97" s="2"/>
      <c r="BD97" s="2"/>
      <c r="BE97" s="2"/>
    </row>
    <row r="98" customFormat="false" ht="12.8" hidden="false" customHeight="false" outlineLevel="0" collapsed="false">
      <c r="A98" s="2" t="n">
        <v>96</v>
      </c>
      <c r="B98" s="2" t="s">
        <v>102</v>
      </c>
      <c r="C98" s="2" t="n">
        <v>87.031</v>
      </c>
      <c r="D98" s="2" t="n">
        <f aca="false">100*LN(C98)</f>
        <v>446.626437702611</v>
      </c>
      <c r="E98" s="2" t="n">
        <f aca="false">E$2*COS((PI()*E$1*$A98)/6)</f>
        <v>-0.16099</v>
      </c>
      <c r="F98" s="2" t="n">
        <f aca="false">F$2*SIN((PI()*F$1*$A98)/6)</f>
        <v>3.25806993880041E-016</v>
      </c>
      <c r="G98" s="1" t="n">
        <f aca="false">G$2*COS((PI()*G$1*$A98)/6)</f>
        <v>0.289269</v>
      </c>
      <c r="H98" s="1" t="n">
        <f aca="false">H$2*SIN((PI()*H$1*$A98)/6)</f>
        <v>2.26248499583533E-015</v>
      </c>
      <c r="I98" s="1" t="n">
        <f aca="false">I$2*COS((PI()*I$1*$A98)/6)</f>
        <v>0.086102</v>
      </c>
      <c r="J98" s="1" t="n">
        <f aca="false">J$2*SIN((PI()*J$1*$A98)/6)</f>
        <v>1.95283158309476E-016</v>
      </c>
      <c r="K98" s="1" t="n">
        <f aca="false">K$2*COS((PI()*K$1*$A98)/6)</f>
        <v>0.058566</v>
      </c>
      <c r="L98" s="1" t="n">
        <f aca="false">L$2*SIN((PI()*L$1*$A98)/6)</f>
        <v>1.35639920038682E-016</v>
      </c>
      <c r="M98" s="1" t="n">
        <f aca="false">M$2*COS((PI()*M$1*$A98)/6)</f>
        <v>-0.00265</v>
      </c>
      <c r="N98" s="1" t="n">
        <f aca="false">N$2*SIN((PI()*N$1*$A98)/6)</f>
        <v>-4.42727550212384E-016</v>
      </c>
      <c r="O98" s="2" t="n">
        <f aca="false">O$2*(-1)^(A98)</f>
        <v>0.114941</v>
      </c>
      <c r="P98" s="2" t="n">
        <f aca="false">100*LN(C98)</f>
        <v>446.626437702611</v>
      </c>
      <c r="Q98" s="2" t="n">
        <f aca="false">SUM(E98:O98)</f>
        <v>0.385238000000002</v>
      </c>
      <c r="R98" s="2" t="n">
        <f aca="false">P98-Q98</f>
        <v>446.241199702611</v>
      </c>
      <c r="S98" s="1" t="n">
        <f aca="false">EXP(R98/100)</f>
        <v>86.6963684939314</v>
      </c>
      <c r="T98" s="2"/>
      <c r="U98" s="2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L98" s="2"/>
      <c r="AM98" s="5"/>
      <c r="AN98" s="2"/>
      <c r="AO98" s="2"/>
      <c r="AP98" s="2"/>
      <c r="AR98" s="2"/>
      <c r="AS98" s="2"/>
      <c r="AT98" s="2"/>
      <c r="AU98" s="2"/>
      <c r="AW98" s="2"/>
      <c r="AX98" s="2"/>
      <c r="AY98" s="2"/>
      <c r="AZ98" s="2"/>
      <c r="BB98" s="2"/>
      <c r="BC98" s="2"/>
      <c r="BD98" s="2"/>
      <c r="BE98" s="2"/>
    </row>
    <row r="99" customFormat="false" ht="12.8" hidden="false" customHeight="false" outlineLevel="0" collapsed="false">
      <c r="A99" s="2" t="n">
        <v>97</v>
      </c>
      <c r="B99" s="2" t="s">
        <v>103</v>
      </c>
      <c r="C99" s="2" t="n">
        <v>86.158</v>
      </c>
      <c r="D99" s="2" t="n">
        <f aca="false">100*LN(C99)</f>
        <v>445.618281995105</v>
      </c>
      <c r="E99" s="2" t="n">
        <f aca="false">E$2*COS((PI()*E$1*$A99)/6)</f>
        <v>-0.139421429755257</v>
      </c>
      <c r="F99" s="2" t="n">
        <f aca="false">F$2*SIN((PI()*F$1*$A99)/6)</f>
        <v>-0.0831379999999991</v>
      </c>
      <c r="G99" s="1" t="n">
        <f aca="false">G$2*COS((PI()*G$1*$A99)/6)</f>
        <v>0.144634500000003</v>
      </c>
      <c r="H99" s="1" t="n">
        <f aca="false">H$2*SIN((PI()*H$1*$A99)/6)</f>
        <v>-0.49998331239227</v>
      </c>
      <c r="I99" s="1" t="n">
        <f aca="false">I$2*COS((PI()*I$1*$A99)/6)</f>
        <v>9.7024964245402E-016</v>
      </c>
      <c r="J99" s="1" t="n">
        <f aca="false">J$2*SIN((PI()*J$1*$A99)/6)</f>
        <v>-0.033221</v>
      </c>
      <c r="K99" s="1" t="n">
        <f aca="false">K$2*COS((PI()*K$1*$A99)/6)</f>
        <v>-0.0292829999999988</v>
      </c>
      <c r="L99" s="1" t="n">
        <f aca="false">L$2*SIN((PI()*L$1*$A99)/6)</f>
        <v>-0.0149874356378937</v>
      </c>
      <c r="M99" s="1" t="n">
        <f aca="false">M$2*COS((PI()*M$1*$A99)/6)</f>
        <v>0.00229496732002875</v>
      </c>
      <c r="N99" s="1" t="n">
        <f aca="false">N$2*SIN((PI()*N$1*$A99)/6)</f>
        <v>0.00579200000000009</v>
      </c>
      <c r="O99" s="2" t="n">
        <f aca="false">O$2*(-1)^(A99)</f>
        <v>-0.114941</v>
      </c>
      <c r="P99" s="2" t="n">
        <f aca="false">100*LN(C99)</f>
        <v>445.618281995105</v>
      </c>
      <c r="Q99" s="2" t="n">
        <f aca="false">SUM(E99:O99)</f>
        <v>-0.762253710465386</v>
      </c>
      <c r="R99" s="2" t="n">
        <f aca="false">P99-Q99</f>
        <v>446.38053570557</v>
      </c>
      <c r="S99" s="1" t="n">
        <f aca="false">EXP(R99/100)</f>
        <v>86.8172519460289</v>
      </c>
      <c r="T99" s="2"/>
      <c r="U99" s="2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L99" s="2"/>
      <c r="AM99" s="5"/>
      <c r="AN99" s="2"/>
      <c r="AO99" s="2"/>
      <c r="AP99" s="2"/>
      <c r="AR99" s="2"/>
      <c r="AS99" s="2"/>
      <c r="AT99" s="2"/>
      <c r="AU99" s="2"/>
      <c r="AW99" s="2"/>
      <c r="AX99" s="2"/>
      <c r="AY99" s="2"/>
      <c r="AZ99" s="2"/>
      <c r="BB99" s="2"/>
      <c r="BC99" s="2"/>
      <c r="BD99" s="2"/>
      <c r="BE99" s="2"/>
    </row>
    <row r="100" customFormat="false" ht="12.8" hidden="false" customHeight="false" outlineLevel="0" collapsed="false">
      <c r="A100" s="2" t="n">
        <v>98</v>
      </c>
      <c r="B100" s="2" t="s">
        <v>104</v>
      </c>
      <c r="C100" s="2" t="n">
        <v>86.001</v>
      </c>
      <c r="D100" s="2" t="n">
        <f aca="false">100*LN(C100)</f>
        <v>445.435892409288</v>
      </c>
      <c r="E100" s="2" t="n">
        <f aca="false">E$2*COS((PI()*E$1*$A100)/6)</f>
        <v>-0.0804950000000004</v>
      </c>
      <c r="F100" s="2" t="n">
        <f aca="false">F$2*SIN((PI()*F$1*$A100)/6)</f>
        <v>-0.143999240039661</v>
      </c>
      <c r="G100" s="1" t="n">
        <f aca="false">G$2*COS((PI()*G$1*$A100)/6)</f>
        <v>-0.144634499999998</v>
      </c>
      <c r="H100" s="1" t="n">
        <f aca="false">H$2*SIN((PI()*H$1*$A100)/6)</f>
        <v>-0.499983312392276</v>
      </c>
      <c r="I100" s="1" t="n">
        <f aca="false">I$2*COS((PI()*I$1*$A100)/6)</f>
        <v>-0.086102</v>
      </c>
      <c r="J100" s="1" t="n">
        <f aca="false">J$2*SIN((PI()*J$1*$A100)/6)</f>
        <v>3.90771948176234E-016</v>
      </c>
      <c r="K100" s="1" t="n">
        <f aca="false">K$2*COS((PI()*K$1*$A100)/6)</f>
        <v>-0.0292830000000006</v>
      </c>
      <c r="L100" s="1" t="n">
        <f aca="false">L$2*SIN((PI()*L$1*$A100)/6)</f>
        <v>0.0149874356378934</v>
      </c>
      <c r="M100" s="1" t="n">
        <f aca="false">M$2*COS((PI()*M$1*$A100)/6)</f>
        <v>-0.00132499999999998</v>
      </c>
      <c r="N100" s="1" t="n">
        <f aca="false">N$2*SIN((PI()*N$1*$A100)/6)</f>
        <v>-0.010032038277439</v>
      </c>
      <c r="O100" s="2" t="n">
        <f aca="false">O$2*(-1)^(A100)</f>
        <v>0.114941</v>
      </c>
      <c r="P100" s="2" t="n">
        <f aca="false">100*LN(C100)</f>
        <v>445.435892409288</v>
      </c>
      <c r="Q100" s="2" t="n">
        <f aca="false">SUM(E100:O100)</f>
        <v>-0.865925655071481</v>
      </c>
      <c r="R100" s="2" t="n">
        <f aca="false">P100-Q100</f>
        <v>446.30181806436</v>
      </c>
      <c r="S100" s="1" t="n">
        <f aca="false">EXP(R100/100)</f>
        <v>86.7489383440888</v>
      </c>
      <c r="T100" s="2"/>
      <c r="U100" s="2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L100" s="2"/>
      <c r="AM100" s="5"/>
      <c r="AN100" s="2"/>
      <c r="AO100" s="2"/>
      <c r="AP100" s="2"/>
      <c r="AR100" s="2"/>
      <c r="AS100" s="2"/>
      <c r="AT100" s="2"/>
      <c r="AU100" s="2"/>
      <c r="AW100" s="2"/>
      <c r="AX100" s="2"/>
      <c r="AY100" s="2"/>
      <c r="AZ100" s="2"/>
      <c r="BB100" s="2"/>
      <c r="BC100" s="2"/>
      <c r="BD100" s="2"/>
      <c r="BE100" s="2"/>
    </row>
    <row r="101" customFormat="false" ht="12.8" hidden="false" customHeight="false" outlineLevel="0" collapsed="false">
      <c r="A101" s="2" t="n">
        <v>99</v>
      </c>
      <c r="B101" s="2" t="s">
        <v>105</v>
      </c>
      <c r="C101" s="2" t="n">
        <v>86.639</v>
      </c>
      <c r="D101" s="2" t="n">
        <f aca="false">100*LN(C101)</f>
        <v>446.17500606132</v>
      </c>
      <c r="E101" s="2" t="n">
        <f aca="false">E$2*COS((PI()*E$1*$A101)/6)</f>
        <v>-3.93315279462621E-017</v>
      </c>
      <c r="F101" s="2" t="n">
        <f aca="false">F$2*SIN((PI()*F$1*$A101)/6)</f>
        <v>-0.166276</v>
      </c>
      <c r="G101" s="1" t="n">
        <f aca="false">G$2*COS((PI()*G$1*$A101)/6)</f>
        <v>-0.289269</v>
      </c>
      <c r="H101" s="1" t="n">
        <f aca="false">H$2*SIN((PI()*H$1*$A101)/6)</f>
        <v>-2.82095911059612E-016</v>
      </c>
      <c r="I101" s="1" t="n">
        <f aca="false">I$2*COS((PI()*I$1*$A101)/6)</f>
        <v>5.48684669536365E-016</v>
      </c>
      <c r="J101" s="1" t="n">
        <f aca="false">J$2*SIN((PI()*J$1*$A101)/6)</f>
        <v>0.033221</v>
      </c>
      <c r="K101" s="1" t="n">
        <f aca="false">K$2*COS((PI()*K$1*$A101)/6)</f>
        <v>0.058566</v>
      </c>
      <c r="L101" s="1" t="n">
        <f aca="false">L$2*SIN((PI()*L$1*$A101)/6)</f>
        <v>1.69121416892481E-017</v>
      </c>
      <c r="M101" s="1" t="n">
        <f aca="false">M$2*COS((PI()*M$1*$A101)/6)</f>
        <v>5.32510349686223E-017</v>
      </c>
      <c r="N101" s="1" t="n">
        <f aca="false">N$2*SIN((PI()*N$1*$A101)/6)</f>
        <v>0.011584</v>
      </c>
      <c r="O101" s="2" t="n">
        <f aca="false">O$2*(-1)^(A101)</f>
        <v>-0.114941</v>
      </c>
      <c r="P101" s="2" t="n">
        <f aca="false">100*LN(C101)</f>
        <v>446.17500606132</v>
      </c>
      <c r="Q101" s="2" t="n">
        <f aca="false">SUM(E101:O101)</f>
        <v>-0.467115</v>
      </c>
      <c r="R101" s="2" t="n">
        <f aca="false">P101-Q101</f>
        <v>446.64212106132</v>
      </c>
      <c r="S101" s="1" t="n">
        <f aca="false">EXP(R101/100)</f>
        <v>87.0446504543144</v>
      </c>
      <c r="T101" s="2"/>
      <c r="U101" s="2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L101" s="2"/>
      <c r="AM101" s="5"/>
      <c r="AN101" s="2"/>
      <c r="AO101" s="2"/>
      <c r="AP101" s="2"/>
      <c r="AR101" s="2"/>
      <c r="AS101" s="2"/>
      <c r="AT101" s="2"/>
      <c r="AU101" s="2"/>
      <c r="AW101" s="2"/>
      <c r="AX101" s="2"/>
      <c r="AY101" s="2"/>
      <c r="AZ101" s="2"/>
      <c r="BB101" s="2"/>
      <c r="BC101" s="2"/>
      <c r="BD101" s="2"/>
      <c r="BE101" s="2"/>
    </row>
    <row r="102" customFormat="false" ht="12.8" hidden="false" customHeight="false" outlineLevel="0" collapsed="false">
      <c r="A102" s="2" t="n">
        <v>100</v>
      </c>
      <c r="B102" s="2" t="s">
        <v>106</v>
      </c>
      <c r="C102" s="2" t="n">
        <v>87.562</v>
      </c>
      <c r="D102" s="2" t="n">
        <f aca="false">100*LN(C102)</f>
        <v>447.234711387393</v>
      </c>
      <c r="E102" s="2" t="n">
        <f aca="false">E$2*COS((PI()*E$1*$A102)/6)</f>
        <v>0.0804950000000004</v>
      </c>
      <c r="F102" s="2" t="n">
        <f aca="false">F$2*SIN((PI()*F$1*$A102)/6)</f>
        <v>-0.143999240039661</v>
      </c>
      <c r="G102" s="1" t="n">
        <f aca="false">G$2*COS((PI()*G$1*$A102)/6)</f>
        <v>-0.144634499999999</v>
      </c>
      <c r="H102" s="1" t="n">
        <f aca="false">H$2*SIN((PI()*H$1*$A102)/6)</f>
        <v>0.499983312392275</v>
      </c>
      <c r="I102" s="1" t="n">
        <f aca="false">I$2*COS((PI()*I$1*$A102)/6)</f>
        <v>0.086102</v>
      </c>
      <c r="J102" s="1" t="n">
        <f aca="false">J$2*SIN((PI()*J$1*$A102)/6)</f>
        <v>-3.26294456744918E-017</v>
      </c>
      <c r="K102" s="1" t="n">
        <f aca="false">K$2*COS((PI()*K$1*$A102)/6)</f>
        <v>-0.0292830000000005</v>
      </c>
      <c r="L102" s="1" t="n">
        <f aca="false">L$2*SIN((PI()*L$1*$A102)/6)</f>
        <v>-0.0149874356378934</v>
      </c>
      <c r="M102" s="1" t="n">
        <f aca="false">M$2*COS((PI()*M$1*$A102)/6)</f>
        <v>0.00132500000000002</v>
      </c>
      <c r="N102" s="1" t="n">
        <f aca="false">N$2*SIN((PI()*N$1*$A102)/6)</f>
        <v>-0.0100320382774389</v>
      </c>
      <c r="O102" s="2" t="n">
        <f aca="false">O$2*(-1)^(A102)</f>
        <v>0.114941</v>
      </c>
      <c r="P102" s="2" t="n">
        <f aca="false">100*LN(C102)</f>
        <v>447.234711387393</v>
      </c>
      <c r="Q102" s="2" t="n">
        <f aca="false">SUM(E102:O102)</f>
        <v>0.439910098437283</v>
      </c>
      <c r="R102" s="2" t="n">
        <f aca="false">P102-Q102</f>
        <v>446.794801288955</v>
      </c>
      <c r="S102" s="1" t="n">
        <f aca="false">EXP(R102/100)</f>
        <v>87.1776519324155</v>
      </c>
      <c r="T102" s="2"/>
      <c r="U102" s="2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L102" s="2"/>
      <c r="AM102" s="5"/>
      <c r="AN102" s="2"/>
      <c r="AO102" s="2"/>
      <c r="AP102" s="2"/>
      <c r="AR102" s="2"/>
      <c r="AS102" s="2"/>
      <c r="AT102" s="2"/>
      <c r="AU102" s="2"/>
      <c r="AW102" s="2"/>
      <c r="AX102" s="2"/>
      <c r="AY102" s="2"/>
      <c r="AZ102" s="2"/>
      <c r="BB102" s="2"/>
      <c r="BC102" s="2"/>
      <c r="BD102" s="2"/>
      <c r="BE102" s="2"/>
    </row>
    <row r="103" customFormat="false" ht="12.8" hidden="false" customHeight="false" outlineLevel="0" collapsed="false">
      <c r="A103" s="2" t="n">
        <v>101</v>
      </c>
      <c r="B103" s="2" t="s">
        <v>107</v>
      </c>
      <c r="C103" s="2" t="n">
        <v>87.756</v>
      </c>
      <c r="D103" s="2" t="n">
        <f aca="false">100*LN(C103)</f>
        <v>447.456023607681</v>
      </c>
      <c r="E103" s="2" t="n">
        <f aca="false">E$2*COS((PI()*E$1*$A103)/6)</f>
        <v>0.139421429755257</v>
      </c>
      <c r="F103" s="2" t="n">
        <f aca="false">F$2*SIN((PI()*F$1*$A103)/6)</f>
        <v>-0.0831380000000002</v>
      </c>
      <c r="G103" s="1" t="n">
        <f aca="false">G$2*COS((PI()*G$1*$A103)/6)</f>
        <v>0.144634499999999</v>
      </c>
      <c r="H103" s="1" t="n">
        <f aca="false">H$2*SIN((PI()*H$1*$A103)/6)</f>
        <v>0.499983312392275</v>
      </c>
      <c r="I103" s="1" t="n">
        <f aca="false">I$2*COS((PI()*I$1*$A103)/6)</f>
        <v>3.79547043849896E-016</v>
      </c>
      <c r="J103" s="1" t="n">
        <f aca="false">J$2*SIN((PI()*J$1*$A103)/6)</f>
        <v>-0.033221</v>
      </c>
      <c r="K103" s="1" t="n">
        <f aca="false">K$2*COS((PI()*K$1*$A103)/6)</f>
        <v>-0.0292830000000003</v>
      </c>
      <c r="L103" s="1" t="n">
        <f aca="false">L$2*SIN((PI()*L$1*$A103)/6)</f>
        <v>0.0149874356378934</v>
      </c>
      <c r="M103" s="1" t="n">
        <f aca="false">M$2*COS((PI()*M$1*$A103)/6)</f>
        <v>-0.00229496732002881</v>
      </c>
      <c r="N103" s="1" t="n">
        <f aca="false">N$2*SIN((PI()*N$1*$A103)/6)</f>
        <v>0.00579199999999964</v>
      </c>
      <c r="O103" s="2" t="n">
        <f aca="false">O$2*(-1)^(A103)</f>
        <v>-0.114941</v>
      </c>
      <c r="P103" s="2" t="n">
        <f aca="false">100*LN(C103)</f>
        <v>447.456023607681</v>
      </c>
      <c r="Q103" s="2" t="n">
        <f aca="false">SUM(E103:O103)</f>
        <v>0.541940710465395</v>
      </c>
      <c r="R103" s="2" t="n">
        <f aca="false">P103-Q103</f>
        <v>446.914082897216</v>
      </c>
      <c r="S103" s="1" t="n">
        <f aca="false">EXP(R103/100)</f>
        <v>87.2817008809772</v>
      </c>
      <c r="T103" s="2"/>
      <c r="U103" s="2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L103" s="2"/>
      <c r="AM103" s="5"/>
      <c r="AN103" s="2"/>
      <c r="AO103" s="2"/>
      <c r="AP103" s="2"/>
      <c r="AR103" s="2"/>
      <c r="AS103" s="2"/>
      <c r="AT103" s="2"/>
      <c r="AU103" s="2"/>
      <c r="AW103" s="2"/>
      <c r="AX103" s="2"/>
      <c r="AY103" s="2"/>
      <c r="AZ103" s="2"/>
      <c r="BB103" s="2"/>
      <c r="BC103" s="2"/>
      <c r="BD103" s="2"/>
      <c r="BE103" s="2"/>
    </row>
    <row r="104" customFormat="false" ht="12.8" hidden="false" customHeight="false" outlineLevel="0" collapsed="false">
      <c r="A104" s="2" t="n">
        <v>102</v>
      </c>
      <c r="B104" s="2" t="s">
        <v>108</v>
      </c>
      <c r="C104" s="2" t="n">
        <v>87.913</v>
      </c>
      <c r="D104" s="2" t="n">
        <f aca="false">100*LN(C104)</f>
        <v>447.63476890913</v>
      </c>
      <c r="E104" s="2" t="n">
        <f aca="false">E$2*COS((PI()*E$1*$A104)/6)</f>
        <v>0.16099</v>
      </c>
      <c r="F104" s="2" t="n">
        <f aca="false">F$2*SIN((PI()*F$1*$A104)/6)</f>
        <v>-9.36900950653775E-016</v>
      </c>
      <c r="G104" s="1" t="n">
        <f aca="false">G$2*COS((PI()*G$1*$A104)/6)</f>
        <v>0.289269</v>
      </c>
      <c r="H104" s="1" t="n">
        <f aca="false">H$2*SIN((PI()*H$1*$A104)/6)</f>
        <v>6.50607378986618E-015</v>
      </c>
      <c r="I104" s="1" t="n">
        <f aca="false">I$2*COS((PI()*I$1*$A104)/6)</f>
        <v>-0.086102</v>
      </c>
      <c r="J104" s="1" t="n">
        <f aca="false">J$2*SIN((PI()*J$1*$A104)/6)</f>
        <v>-3.2551305682725E-016</v>
      </c>
      <c r="K104" s="1" t="n">
        <f aca="false">K$2*COS((PI()*K$1*$A104)/6)</f>
        <v>0.058566</v>
      </c>
      <c r="L104" s="1" t="n">
        <f aca="false">L$2*SIN((PI()*L$1*$A104)/6)</f>
        <v>3.90050466742386E-016</v>
      </c>
      <c r="M104" s="1" t="n">
        <f aca="false">M$2*COS((PI()*M$1*$A104)/6)</f>
        <v>0.00265</v>
      </c>
      <c r="N104" s="1" t="n">
        <f aca="false">N$2*SIN((PI()*N$1*$A104)/6)</f>
        <v>7.942898717602E-017</v>
      </c>
      <c r="O104" s="2" t="n">
        <f aca="false">O$2*(-1)^(A104)</f>
        <v>0.114941</v>
      </c>
      <c r="P104" s="2" t="n">
        <f aca="false">100*LN(C104)</f>
        <v>447.63476890913</v>
      </c>
      <c r="Q104" s="2" t="n">
        <f aca="false">SUM(E104:O104)</f>
        <v>0.540314000000006</v>
      </c>
      <c r="R104" s="2" t="n">
        <f aca="false">P104-Q104</f>
        <v>447.09445490913</v>
      </c>
      <c r="S104" s="1" t="n">
        <f aca="false">EXP(R104/100)</f>
        <v>87.4392747077089</v>
      </c>
      <c r="T104" s="2"/>
      <c r="U104" s="2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L104" s="2"/>
      <c r="AM104" s="5"/>
      <c r="AN104" s="2"/>
      <c r="AO104" s="2"/>
      <c r="AP104" s="2"/>
      <c r="AR104" s="2"/>
      <c r="AS104" s="2"/>
      <c r="AT104" s="2"/>
      <c r="AU104" s="2"/>
      <c r="AW104" s="2"/>
      <c r="AX104" s="2"/>
      <c r="AY104" s="2"/>
      <c r="AZ104" s="2"/>
      <c r="BB104" s="2"/>
      <c r="BC104" s="2"/>
      <c r="BD104" s="2"/>
      <c r="BE104" s="2"/>
    </row>
    <row r="105" customFormat="false" ht="12.8" hidden="false" customHeight="false" outlineLevel="0" collapsed="false">
      <c r="A105" s="2" t="n">
        <v>103</v>
      </c>
      <c r="B105" s="2" t="s">
        <v>109</v>
      </c>
      <c r="C105" s="2" t="n">
        <v>87.519</v>
      </c>
      <c r="D105" s="2" t="n">
        <f aca="false">100*LN(C105)</f>
        <v>447.185591264861</v>
      </c>
      <c r="E105" s="2" t="n">
        <f aca="false">E$2*COS((PI()*E$1*$A105)/6)</f>
        <v>0.139421429755257</v>
      </c>
      <c r="F105" s="2" t="n">
        <f aca="false">F$2*SIN((PI()*F$1*$A105)/6)</f>
        <v>0.0831379999999996</v>
      </c>
      <c r="G105" s="1" t="n">
        <f aca="false">G$2*COS((PI()*G$1*$A105)/6)</f>
        <v>0.144634500000001</v>
      </c>
      <c r="H105" s="1" t="n">
        <f aca="false">H$2*SIN((PI()*H$1*$A105)/6)</f>
        <v>-0.499983312392272</v>
      </c>
      <c r="I105" s="1" t="n">
        <f aca="false">I$2*COS((PI()*I$1*$A105)/6)</f>
        <v>-1.30777875723616E-015</v>
      </c>
      <c r="J105" s="1" t="n">
        <f aca="false">J$2*SIN((PI()*J$1*$A105)/6)</f>
        <v>0.033221</v>
      </c>
      <c r="K105" s="1" t="n">
        <f aca="false">K$2*COS((PI()*K$1*$A105)/6)</f>
        <v>-0.0292829999999995</v>
      </c>
      <c r="L105" s="1" t="n">
        <f aca="false">L$2*SIN((PI()*L$1*$A105)/6)</f>
        <v>-0.0149874356378936</v>
      </c>
      <c r="M105" s="1" t="n">
        <f aca="false">M$2*COS((PI()*M$1*$A105)/6)</f>
        <v>-0.00229496732002879</v>
      </c>
      <c r="N105" s="1" t="n">
        <f aca="false">N$2*SIN((PI()*N$1*$A105)/6)</f>
        <v>-0.00579199999999978</v>
      </c>
      <c r="O105" s="2" t="n">
        <f aca="false">O$2*(-1)^(A105)</f>
        <v>-0.114941</v>
      </c>
      <c r="P105" s="2" t="n">
        <f aca="false">100*LN(C105)</f>
        <v>447.185591264861</v>
      </c>
      <c r="Q105" s="2" t="n">
        <f aca="false">SUM(E105:O105)</f>
        <v>-0.266866785594937</v>
      </c>
      <c r="R105" s="2" t="n">
        <f aca="false">P105-Q105</f>
        <v>447.452458050456</v>
      </c>
      <c r="S105" s="1" t="n">
        <f aca="false">EXP(R105/100)</f>
        <v>87.7528710653838</v>
      </c>
      <c r="T105" s="2"/>
      <c r="U105" s="2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L105" s="2"/>
      <c r="AM105" s="5"/>
      <c r="AN105" s="2"/>
      <c r="AO105" s="2"/>
      <c r="AP105" s="2"/>
      <c r="AR105" s="2"/>
      <c r="AS105" s="2"/>
      <c r="AT105" s="2"/>
      <c r="AU105" s="2"/>
      <c r="AW105" s="2"/>
      <c r="AX105" s="2"/>
      <c r="AY105" s="2"/>
      <c r="AZ105" s="2"/>
      <c r="BB105" s="2"/>
      <c r="BC105" s="2"/>
      <c r="BD105" s="2"/>
      <c r="BE105" s="2"/>
    </row>
    <row r="106" customFormat="false" ht="12.8" hidden="false" customHeight="false" outlineLevel="0" collapsed="false">
      <c r="A106" s="2" t="n">
        <v>104</v>
      </c>
      <c r="B106" s="2" t="s">
        <v>110</v>
      </c>
      <c r="C106" s="2" t="n">
        <v>87.74</v>
      </c>
      <c r="D106" s="2" t="n">
        <f aca="false">100*LN(C106)</f>
        <v>447.437789573807</v>
      </c>
      <c r="E106" s="2" t="n">
        <f aca="false">E$2*COS((PI()*E$1*$A106)/6)</f>
        <v>0.080495</v>
      </c>
      <c r="F106" s="2" t="n">
        <f aca="false">F$2*SIN((PI()*F$1*$A106)/6)</f>
        <v>0.143999240039661</v>
      </c>
      <c r="G106" s="1" t="n">
        <f aca="false">G$2*COS((PI()*G$1*$A106)/6)</f>
        <v>-0.1446345</v>
      </c>
      <c r="H106" s="1" t="n">
        <f aca="false">H$2*SIN((PI()*H$1*$A106)/6)</f>
        <v>-0.499983312392274</v>
      </c>
      <c r="I106" s="1" t="n">
        <f aca="false">I$2*COS((PI()*I$1*$A106)/6)</f>
        <v>0.086102</v>
      </c>
      <c r="J106" s="1" t="n">
        <f aca="false">J$2*SIN((PI()*J$1*$A106)/6)</f>
        <v>6.83655559328992E-016</v>
      </c>
      <c r="K106" s="1" t="n">
        <f aca="false">K$2*COS((PI()*K$1*$A106)/6)</f>
        <v>-0.029283</v>
      </c>
      <c r="L106" s="1" t="n">
        <f aca="false">L$2*SIN((PI()*L$1*$A106)/6)</f>
        <v>0.0149874356378935</v>
      </c>
      <c r="M106" s="1" t="n">
        <f aca="false">M$2*COS((PI()*M$1*$A106)/6)</f>
        <v>0.00132499999999999</v>
      </c>
      <c r="N106" s="1" t="n">
        <f aca="false">N$2*SIN((PI()*N$1*$A106)/6)</f>
        <v>0.010032038277439</v>
      </c>
      <c r="O106" s="2" t="n">
        <f aca="false">O$2*(-1)^(A106)</f>
        <v>0.114941</v>
      </c>
      <c r="P106" s="2" t="n">
        <f aca="false">100*LN(C106)</f>
        <v>447.437789573807</v>
      </c>
      <c r="Q106" s="2" t="n">
        <f aca="false">SUM(E106:O106)</f>
        <v>-0.222019098437279</v>
      </c>
      <c r="R106" s="2" t="n">
        <f aca="false">P106-Q106</f>
        <v>447.659808672244</v>
      </c>
      <c r="S106" s="1" t="n">
        <f aca="false">EXP(R106/100)</f>
        <v>87.9350159632037</v>
      </c>
      <c r="T106" s="2"/>
      <c r="U106" s="2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L106" s="2"/>
      <c r="AM106" s="5"/>
      <c r="AN106" s="2"/>
      <c r="AO106" s="2"/>
      <c r="AP106" s="2"/>
      <c r="AR106" s="2"/>
      <c r="AS106" s="2"/>
      <c r="AT106" s="2"/>
      <c r="AU106" s="2"/>
      <c r="AW106" s="2"/>
      <c r="AX106" s="2"/>
      <c r="AY106" s="2"/>
      <c r="AZ106" s="2"/>
      <c r="BB106" s="2"/>
      <c r="BC106" s="2"/>
      <c r="BD106" s="2"/>
      <c r="BE106" s="2"/>
    </row>
    <row r="107" customFormat="false" ht="12.8" hidden="false" customHeight="false" outlineLevel="0" collapsed="false">
      <c r="A107" s="2" t="n">
        <v>105</v>
      </c>
      <c r="B107" s="2" t="s">
        <v>111</v>
      </c>
      <c r="C107" s="2" t="n">
        <v>87.801</v>
      </c>
      <c r="D107" s="2" t="n">
        <f aca="false">100*LN(C107)</f>
        <v>447.507289009785</v>
      </c>
      <c r="E107" s="2" t="n">
        <f aca="false">E$2*COS((PI()*E$1*$A107)/6)</f>
        <v>-5.12904258384357E-016</v>
      </c>
      <c r="F107" s="2" t="n">
        <f aca="false">F$2*SIN((PI()*F$1*$A107)/6)</f>
        <v>0.166276</v>
      </c>
      <c r="G107" s="1" t="n">
        <f aca="false">G$2*COS((PI()*G$1*$A107)/6)</f>
        <v>-0.289269</v>
      </c>
      <c r="H107" s="1" t="n">
        <f aca="false">H$2*SIN((PI()*H$1*$A107)/6)</f>
        <v>3.67868225849182E-015</v>
      </c>
      <c r="I107" s="1" t="n">
        <f aca="false">I$2*COS((PI()*I$1*$A107)/6)</f>
        <v>-2.11155554754228E-016</v>
      </c>
      <c r="J107" s="1" t="n">
        <f aca="false">J$2*SIN((PI()*J$1*$A107)/6)</f>
        <v>-0.033221</v>
      </c>
      <c r="K107" s="1" t="n">
        <f aca="false">K$2*COS((PI()*K$1*$A107)/6)</f>
        <v>0.058566</v>
      </c>
      <c r="L107" s="1" t="n">
        <f aca="false">L$2*SIN((PI()*L$1*$A107)/6)</f>
        <v>-2.2054341500962E-016</v>
      </c>
      <c r="M107" s="1" t="n">
        <f aca="false">M$2*COS((PI()*M$1*$A107)/6)</f>
        <v>8.95919907725679E-017</v>
      </c>
      <c r="N107" s="1" t="n">
        <f aca="false">N$2*SIN((PI()*N$1*$A107)/6)</f>
        <v>-0.011584</v>
      </c>
      <c r="O107" s="2" t="n">
        <f aca="false">O$2*(-1)^(A107)</f>
        <v>-0.114941</v>
      </c>
      <c r="P107" s="2" t="n">
        <f aca="false">100*LN(C107)</f>
        <v>447.507289009785</v>
      </c>
      <c r="Q107" s="2" t="n">
        <f aca="false">SUM(E107:O107)</f>
        <v>-0.224172999999997</v>
      </c>
      <c r="R107" s="2" t="n">
        <f aca="false">P107-Q107</f>
        <v>447.731462009785</v>
      </c>
      <c r="S107" s="1" t="n">
        <f aca="false">EXP(R107/100)</f>
        <v>87.9980469162026</v>
      </c>
      <c r="T107" s="2"/>
      <c r="U107" s="2"/>
      <c r="V107" s="4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L107" s="2"/>
      <c r="AM107" s="5"/>
      <c r="AN107" s="2"/>
      <c r="AO107" s="2"/>
      <c r="AP107" s="2"/>
      <c r="AR107" s="2"/>
      <c r="AS107" s="2"/>
      <c r="AT107" s="2"/>
      <c r="AU107" s="2"/>
      <c r="AW107" s="2"/>
      <c r="AX107" s="2"/>
      <c r="AY107" s="2"/>
      <c r="AZ107" s="2"/>
      <c r="BB107" s="2"/>
      <c r="BC107" s="2"/>
      <c r="BD107" s="2"/>
      <c r="BE107" s="2"/>
    </row>
    <row r="108" customFormat="false" ht="12.8" hidden="false" customHeight="false" outlineLevel="0" collapsed="false">
      <c r="A108" s="2" t="n">
        <v>106</v>
      </c>
      <c r="B108" s="2" t="s">
        <v>112</v>
      </c>
      <c r="C108" s="2" t="n">
        <v>88.603</v>
      </c>
      <c r="D108" s="2" t="n">
        <f aca="false">100*LN(C108)</f>
        <v>448.416571708294</v>
      </c>
      <c r="E108" s="2" t="n">
        <f aca="false">E$2*COS((PI()*E$1*$A108)/6)</f>
        <v>-0.0804949999999999</v>
      </c>
      <c r="F108" s="2" t="n">
        <f aca="false">F$2*SIN((PI()*F$1*$A108)/6)</f>
        <v>0.143999240039661</v>
      </c>
      <c r="G108" s="1" t="n">
        <f aca="false">G$2*COS((PI()*G$1*$A108)/6)</f>
        <v>-0.1446345</v>
      </c>
      <c r="H108" s="1" t="n">
        <f aca="false">H$2*SIN((PI()*H$1*$A108)/6)</f>
        <v>0.499983312392273</v>
      </c>
      <c r="I108" s="1" t="n">
        <f aca="false">I$2*COS((PI()*I$1*$A108)/6)</f>
        <v>-0.086102</v>
      </c>
      <c r="J108" s="1" t="n">
        <f aca="false">J$2*SIN((PI()*J$1*$A108)/6)</f>
        <v>-9.76004528432819E-017</v>
      </c>
      <c r="K108" s="1" t="n">
        <f aca="false">K$2*COS((PI()*K$1*$A108)/6)</f>
        <v>-0.0292829999999998</v>
      </c>
      <c r="L108" s="1" t="n">
        <f aca="false">L$2*SIN((PI()*L$1*$A108)/6)</f>
        <v>-0.0149874356378935</v>
      </c>
      <c r="M108" s="1" t="n">
        <f aca="false">M$2*COS((PI()*M$1*$A108)/6)</f>
        <v>-0.00132500000000001</v>
      </c>
      <c r="N108" s="1" t="n">
        <f aca="false">N$2*SIN((PI()*N$1*$A108)/6)</f>
        <v>0.0100320382774389</v>
      </c>
      <c r="O108" s="2" t="n">
        <f aca="false">O$2*(-1)^(A108)</f>
        <v>0.114941</v>
      </c>
      <c r="P108" s="2" t="n">
        <f aca="false">100*LN(C108)</f>
        <v>448.416571708294</v>
      </c>
      <c r="Q108" s="2" t="n">
        <f aca="false">SUM(E108:O108)</f>
        <v>0.41212865507148</v>
      </c>
      <c r="R108" s="2" t="n">
        <f aca="false">P108-Q108</f>
        <v>448.004443053223</v>
      </c>
      <c r="S108" s="1" t="n">
        <f aca="false">EXP(R108/100)</f>
        <v>88.2385930762116</v>
      </c>
      <c r="T108" s="2"/>
      <c r="U108" s="2"/>
      <c r="V108" s="4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L108" s="2"/>
      <c r="AM108" s="5"/>
      <c r="AN108" s="2"/>
      <c r="AO108" s="2"/>
      <c r="AP108" s="2"/>
      <c r="AR108" s="2"/>
      <c r="AS108" s="2"/>
      <c r="AT108" s="2"/>
      <c r="AU108" s="2"/>
      <c r="AW108" s="2"/>
      <c r="AX108" s="2"/>
      <c r="AY108" s="2"/>
      <c r="AZ108" s="2"/>
      <c r="BB108" s="2"/>
      <c r="BC108" s="2"/>
      <c r="BD108" s="2"/>
      <c r="BE108" s="2"/>
    </row>
    <row r="109" customFormat="false" ht="12.8" hidden="false" customHeight="false" outlineLevel="0" collapsed="false">
      <c r="A109" s="2" t="n">
        <v>107</v>
      </c>
      <c r="B109" s="2" t="s">
        <v>113</v>
      </c>
      <c r="C109" s="2" t="n">
        <v>89.084</v>
      </c>
      <c r="D109" s="2" t="n">
        <f aca="false">100*LN(C109)</f>
        <v>448.95797448386</v>
      </c>
      <c r="E109" s="2" t="n">
        <f aca="false">E$2*COS((PI()*E$1*$A109)/6)</f>
        <v>-0.139421429755256</v>
      </c>
      <c r="F109" s="2" t="n">
        <f aca="false">F$2*SIN((PI()*F$1*$A109)/6)</f>
        <v>0.0831380000000007</v>
      </c>
      <c r="G109" s="1" t="n">
        <f aca="false">G$2*COS((PI()*G$1*$A109)/6)</f>
        <v>0.144634499999997</v>
      </c>
      <c r="H109" s="1" t="n">
        <f aca="false">H$2*SIN((PI()*H$1*$A109)/6)</f>
        <v>0.499983312392277</v>
      </c>
      <c r="I109" s="1" t="n">
        <f aca="false">I$2*COS((PI()*I$1*$A109)/6)</f>
        <v>-7.17076158632032E-016</v>
      </c>
      <c r="J109" s="1" t="n">
        <f aca="false">J$2*SIN((PI()*J$1*$A109)/6)</f>
        <v>0.033221</v>
      </c>
      <c r="K109" s="1" t="n">
        <f aca="false">K$2*COS((PI()*K$1*$A109)/6)</f>
        <v>-0.029283000000001</v>
      </c>
      <c r="L109" s="1" t="n">
        <f aca="false">L$2*SIN((PI()*L$1*$A109)/6)</f>
        <v>0.0149874356378933</v>
      </c>
      <c r="M109" s="1" t="n">
        <f aca="false">M$2*COS((PI()*M$1*$A109)/6)</f>
        <v>0.00229496732002873</v>
      </c>
      <c r="N109" s="1" t="n">
        <f aca="false">N$2*SIN((PI()*N$1*$A109)/6)</f>
        <v>-0.00579200000000024</v>
      </c>
      <c r="O109" s="2" t="n">
        <f aca="false">O$2*(-1)^(A109)</f>
        <v>-0.114941</v>
      </c>
      <c r="P109" s="2" t="n">
        <f aca="false">100*LN(C109)</f>
        <v>448.95797448386</v>
      </c>
      <c r="Q109" s="2" t="n">
        <f aca="false">SUM(E109:O109)</f>
        <v>0.488821785594939</v>
      </c>
      <c r="R109" s="2" t="n">
        <f aca="false">P109-Q109</f>
        <v>448.469152698265</v>
      </c>
      <c r="S109" s="1" t="n">
        <f aca="false">EXP(R109/100)</f>
        <v>88.6496005849948</v>
      </c>
      <c r="T109" s="2"/>
      <c r="U109" s="2"/>
      <c r="V109" s="4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L109" s="2"/>
      <c r="AM109" s="5"/>
      <c r="AN109" s="2"/>
      <c r="AO109" s="2"/>
      <c r="AP109" s="2"/>
      <c r="AR109" s="2"/>
      <c r="AS109" s="2"/>
      <c r="AT109" s="2"/>
      <c r="AU109" s="2"/>
      <c r="AW109" s="2"/>
      <c r="AX109" s="2"/>
      <c r="AY109" s="2"/>
      <c r="AZ109" s="2"/>
      <c r="BB109" s="2"/>
      <c r="BC109" s="2"/>
      <c r="BD109" s="2"/>
      <c r="BE109" s="2"/>
    </row>
    <row r="110" customFormat="false" ht="12.8" hidden="false" customHeight="false" outlineLevel="0" collapsed="false">
      <c r="A110" s="2" t="n">
        <v>108</v>
      </c>
      <c r="B110" s="2" t="s">
        <v>114</v>
      </c>
      <c r="C110" s="2" t="n">
        <v>89.631</v>
      </c>
      <c r="D110" s="2" t="n">
        <f aca="false">100*LN(C110)</f>
        <v>449.570124228572</v>
      </c>
      <c r="E110" s="2" t="n">
        <f aca="false">E$2*COS((PI()*E$1*$A110)/6)</f>
        <v>-0.16099</v>
      </c>
      <c r="F110" s="2" t="n">
        <f aca="false">F$2*SIN((PI()*F$1*$A110)/6)</f>
        <v>3.66532868115046E-016</v>
      </c>
      <c r="G110" s="1" t="n">
        <f aca="false">G$2*COS((PI()*G$1*$A110)/6)</f>
        <v>0.289269</v>
      </c>
      <c r="H110" s="1" t="n">
        <f aca="false">H$2*SIN((PI()*H$1*$A110)/6)</f>
        <v>2.54529562031475E-015</v>
      </c>
      <c r="I110" s="1" t="n">
        <f aca="false">I$2*COS((PI()*I$1*$A110)/6)</f>
        <v>0.086102</v>
      </c>
      <c r="J110" s="1" t="n">
        <f aca="false">J$2*SIN((PI()*J$1*$A110)/6)</f>
        <v>4.55742955345024E-016</v>
      </c>
      <c r="K110" s="1" t="n">
        <f aca="false">K$2*COS((PI()*K$1*$A110)/6)</f>
        <v>0.058566</v>
      </c>
      <c r="L110" s="1" t="n">
        <f aca="false">L$2*SIN((PI()*L$1*$A110)/6)</f>
        <v>1.52594910043517E-016</v>
      </c>
      <c r="M110" s="1" t="n">
        <f aca="false">M$2*COS((PI()*M$1*$A110)/6)</f>
        <v>-0.00265</v>
      </c>
      <c r="N110" s="1" t="n">
        <f aca="false">N$2*SIN((PI()*N$1*$A110)/6)</f>
        <v>-4.53675061814564E-017</v>
      </c>
      <c r="O110" s="2" t="n">
        <f aca="false">O$2*(-1)^(A110)</f>
        <v>0.114941</v>
      </c>
      <c r="P110" s="2" t="n">
        <f aca="false">100*LN(C110)</f>
        <v>449.570124228572</v>
      </c>
      <c r="Q110" s="2" t="n">
        <f aca="false">SUM(E110:O110)</f>
        <v>0.385238000000003</v>
      </c>
      <c r="R110" s="2" t="n">
        <f aca="false">P110-Q110</f>
        <v>449.184886228572</v>
      </c>
      <c r="S110" s="1" t="n">
        <f aca="false">EXP(R110/100)</f>
        <v>89.2863715742617</v>
      </c>
      <c r="T110" s="2"/>
      <c r="U110" s="2"/>
      <c r="V110" s="4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L110" s="2"/>
      <c r="AM110" s="5"/>
      <c r="AN110" s="2"/>
      <c r="AO110" s="2"/>
      <c r="AP110" s="2"/>
      <c r="AR110" s="2"/>
      <c r="AS110" s="2"/>
      <c r="AT110" s="2"/>
      <c r="AU110" s="2"/>
      <c r="AW110" s="2"/>
      <c r="AX110" s="2"/>
      <c r="AY110" s="2"/>
      <c r="AZ110" s="2"/>
      <c r="BB110" s="2"/>
      <c r="BC110" s="2"/>
      <c r="BD110" s="2"/>
      <c r="BE110" s="2"/>
    </row>
    <row r="111" customFormat="false" ht="12.8" hidden="false" customHeight="false" outlineLevel="0" collapsed="false">
      <c r="A111" s="2" t="n">
        <v>109</v>
      </c>
      <c r="B111" s="2" t="s">
        <v>115</v>
      </c>
      <c r="C111" s="2" t="n">
        <v>88.975</v>
      </c>
      <c r="D111" s="2" t="n">
        <f aca="false">100*LN(C111)</f>
        <v>448.835543139626</v>
      </c>
      <c r="E111" s="2" t="n">
        <f aca="false">E$2*COS((PI()*E$1*$A111)/6)</f>
        <v>-0.139421429755257</v>
      </c>
      <c r="F111" s="2" t="n">
        <f aca="false">F$2*SIN((PI()*F$1*$A111)/6)</f>
        <v>-0.0831379999999991</v>
      </c>
      <c r="G111" s="1" t="n">
        <f aca="false">G$2*COS((PI()*G$1*$A111)/6)</f>
        <v>0.144634500000003</v>
      </c>
      <c r="H111" s="1" t="n">
        <f aca="false">H$2*SIN((PI()*H$1*$A111)/6)</f>
        <v>-0.49998331239227</v>
      </c>
      <c r="I111" s="1" t="n">
        <f aca="false">I$2*COS((PI()*I$1*$A111)/6)</f>
        <v>-8.01858153358353E-016</v>
      </c>
      <c r="J111" s="1" t="n">
        <f aca="false">J$2*SIN((PI()*J$1*$A111)/6)</f>
        <v>-0.033221</v>
      </c>
      <c r="K111" s="1" t="n">
        <f aca="false">K$2*COS((PI()*K$1*$A111)/6)</f>
        <v>-0.0292829999999987</v>
      </c>
      <c r="L111" s="1" t="n">
        <f aca="false">L$2*SIN((PI()*L$1*$A111)/6)</f>
        <v>-0.0149874356378937</v>
      </c>
      <c r="M111" s="1" t="n">
        <f aca="false">M$2*COS((PI()*M$1*$A111)/6)</f>
        <v>0.00229496732002872</v>
      </c>
      <c r="N111" s="1" t="n">
        <f aca="false">N$2*SIN((PI()*N$1*$A111)/6)</f>
        <v>0.00579200000000032</v>
      </c>
      <c r="O111" s="2" t="n">
        <f aca="false">O$2*(-1)^(A111)</f>
        <v>-0.114941</v>
      </c>
      <c r="P111" s="2" t="n">
        <f aca="false">100*LN(C111)</f>
        <v>448.835543139626</v>
      </c>
      <c r="Q111" s="2" t="n">
        <f aca="false">SUM(E111:O111)</f>
        <v>-0.762253710465388</v>
      </c>
      <c r="R111" s="2" t="n">
        <f aca="false">P111-Q111</f>
        <v>449.597796850091</v>
      </c>
      <c r="S111" s="1" t="n">
        <f aca="false">EXP(R111/100)</f>
        <v>89.6558066795645</v>
      </c>
      <c r="T111" s="2"/>
      <c r="U111" s="2"/>
      <c r="V111" s="4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L111" s="2"/>
      <c r="AM111" s="5"/>
      <c r="AN111" s="2"/>
      <c r="AO111" s="2"/>
      <c r="AP111" s="2"/>
      <c r="AR111" s="2"/>
      <c r="AS111" s="2"/>
      <c r="AT111" s="2"/>
      <c r="AU111" s="2"/>
      <c r="AW111" s="2"/>
      <c r="AX111" s="2"/>
      <c r="AY111" s="2"/>
      <c r="AZ111" s="2"/>
      <c r="BB111" s="2"/>
      <c r="BC111" s="2"/>
      <c r="BD111" s="2"/>
      <c r="BE111" s="2"/>
    </row>
    <row r="112" customFormat="false" ht="12.8" hidden="false" customHeight="false" outlineLevel="0" collapsed="false">
      <c r="A112" s="2" t="n">
        <v>110</v>
      </c>
      <c r="B112" s="2" t="s">
        <v>116</v>
      </c>
      <c r="C112" s="2" t="n">
        <v>89.088</v>
      </c>
      <c r="D112" s="2" t="n">
        <f aca="false">100*LN(C112)</f>
        <v>448.96246452719</v>
      </c>
      <c r="E112" s="2" t="n">
        <f aca="false">E$2*COS((PI()*E$1*$A112)/6)</f>
        <v>-0.0804949999999995</v>
      </c>
      <c r="F112" s="2" t="n">
        <f aca="false">F$2*SIN((PI()*F$1*$A112)/6)</f>
        <v>-0.143999240039662</v>
      </c>
      <c r="G112" s="1" t="n">
        <f aca="false">G$2*COS((PI()*G$1*$A112)/6)</f>
        <v>-0.144634500000002</v>
      </c>
      <c r="H112" s="1" t="n">
        <f aca="false">H$2*SIN((PI()*H$1*$A112)/6)</f>
        <v>-0.499983312392272</v>
      </c>
      <c r="I112" s="1" t="n">
        <f aca="false">I$2*COS((PI()*I$1*$A112)/6)</f>
        <v>-0.086102</v>
      </c>
      <c r="J112" s="1" t="n">
        <f aca="false">J$2*SIN((PI()*J$1*$A112)/6)</f>
        <v>-8.13885457846765E-016</v>
      </c>
      <c r="K112" s="1" t="n">
        <f aca="false">K$2*COS((PI()*K$1*$A112)/6)</f>
        <v>-0.0292829999999993</v>
      </c>
      <c r="L112" s="1" t="n">
        <f aca="false">L$2*SIN((PI()*L$1*$A112)/6)</f>
        <v>0.0149874356378936</v>
      </c>
      <c r="M112" s="1" t="n">
        <f aca="false">M$2*COS((PI()*M$1*$A112)/6)</f>
        <v>-0.00132499999999999</v>
      </c>
      <c r="N112" s="1" t="n">
        <f aca="false">N$2*SIN((PI()*N$1*$A112)/6)</f>
        <v>-0.010032038277439</v>
      </c>
      <c r="O112" s="2" t="n">
        <f aca="false">O$2*(-1)^(A112)</f>
        <v>0.114941</v>
      </c>
      <c r="P112" s="2" t="n">
        <f aca="false">100*LN(C112)</f>
        <v>448.96246452719</v>
      </c>
      <c r="Q112" s="2" t="n">
        <f aca="false">SUM(E112:O112)</f>
        <v>-0.86592565507148</v>
      </c>
      <c r="R112" s="2" t="n">
        <f aca="false">P112-Q112</f>
        <v>449.828390182261</v>
      </c>
      <c r="S112" s="1" t="n">
        <f aca="false">EXP(R112/100)</f>
        <v>89.8627855396819</v>
      </c>
      <c r="T112" s="2"/>
      <c r="U112" s="2"/>
      <c r="V112" s="4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L112" s="2"/>
      <c r="AM112" s="5"/>
      <c r="AN112" s="2"/>
      <c r="AO112" s="2"/>
      <c r="AP112" s="2"/>
      <c r="AR112" s="2"/>
      <c r="AS112" s="2"/>
      <c r="AT112" s="2"/>
      <c r="AU112" s="2"/>
      <c r="AW112" s="2"/>
      <c r="AX112" s="2"/>
      <c r="AY112" s="2"/>
      <c r="AZ112" s="2"/>
      <c r="BB112" s="2"/>
      <c r="BC112" s="2"/>
      <c r="BD112" s="2"/>
      <c r="BE112" s="2"/>
    </row>
    <row r="113" customFormat="false" ht="12.8" hidden="false" customHeight="false" outlineLevel="0" collapsed="false">
      <c r="A113" s="2" t="n">
        <v>111</v>
      </c>
      <c r="B113" s="2" t="s">
        <v>117</v>
      </c>
      <c r="C113" s="2" t="n">
        <v>89.754</v>
      </c>
      <c r="D113" s="2" t="n">
        <f aca="false">100*LN(C113)</f>
        <v>449.707259462038</v>
      </c>
      <c r="E113" s="2" t="n">
        <f aca="false">E$2*COS((PI()*E$1*$A113)/6)</f>
        <v>-7.87627055852086E-017</v>
      </c>
      <c r="F113" s="2" t="n">
        <f aca="false">F$2*SIN((PI()*F$1*$A113)/6)</f>
        <v>-0.166276</v>
      </c>
      <c r="G113" s="1" t="n">
        <f aca="false">G$2*COS((PI()*G$1*$A113)/6)</f>
        <v>-0.289269</v>
      </c>
      <c r="H113" s="1" t="n">
        <f aca="false">H$2*SIN((PI()*H$1*$A113)/6)</f>
        <v>-5.64906535539028E-016</v>
      </c>
      <c r="I113" s="1" t="n">
        <f aca="false">I$2*COS((PI()*I$1*$A113)/6)</f>
        <v>-1.26373560027908E-016</v>
      </c>
      <c r="J113" s="1" t="n">
        <f aca="false">J$2*SIN((PI()*J$1*$A113)/6)</f>
        <v>0.033221</v>
      </c>
      <c r="K113" s="1" t="n">
        <f aca="false">K$2*COS((PI()*K$1*$A113)/6)</f>
        <v>0.058566</v>
      </c>
      <c r="L113" s="1" t="n">
        <f aca="false">L$2*SIN((PI()*L$1*$A113)/6)</f>
        <v>3.38671316940834E-017</v>
      </c>
      <c r="M113" s="1" t="n">
        <f aca="false">M$2*COS((PI()*M$1*$A113)/6)</f>
        <v>6.88351034485245E-017</v>
      </c>
      <c r="N113" s="1" t="n">
        <f aca="false">N$2*SIN((PI()*N$1*$A113)/6)</f>
        <v>0.011584</v>
      </c>
      <c r="O113" s="2" t="n">
        <f aca="false">O$2*(-1)^(A113)</f>
        <v>-0.114941</v>
      </c>
      <c r="P113" s="2" t="n">
        <f aca="false">100*LN(C113)</f>
        <v>449.707259462038</v>
      </c>
      <c r="Q113" s="2" t="n">
        <f aca="false">SUM(E113:O113)</f>
        <v>-0.467115000000001</v>
      </c>
      <c r="R113" s="2" t="n">
        <f aca="false">P113-Q113</f>
        <v>450.174374462038</v>
      </c>
      <c r="S113" s="1" t="n">
        <f aca="false">EXP(R113/100)</f>
        <v>90.1742351236342</v>
      </c>
      <c r="T113" s="2"/>
      <c r="U113" s="2"/>
      <c r="V113" s="4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L113" s="2"/>
      <c r="AM113" s="5"/>
      <c r="AN113" s="2"/>
      <c r="AO113" s="2"/>
      <c r="AP113" s="2"/>
      <c r="AR113" s="2"/>
      <c r="AS113" s="2"/>
      <c r="AT113" s="2"/>
      <c r="AU113" s="2"/>
      <c r="AW113" s="2"/>
      <c r="AX113" s="2"/>
      <c r="AY113" s="2"/>
      <c r="AZ113" s="2"/>
      <c r="BB113" s="2"/>
      <c r="BC113" s="2"/>
      <c r="BD113" s="2"/>
      <c r="BE113" s="2"/>
    </row>
    <row r="114" customFormat="false" ht="12.8" hidden="false" customHeight="false" outlineLevel="0" collapsed="false">
      <c r="A114" s="2" t="n">
        <v>112</v>
      </c>
      <c r="B114" s="2" t="s">
        <v>118</v>
      </c>
      <c r="C114" s="2" t="n">
        <v>90.871</v>
      </c>
      <c r="D114" s="2" t="n">
        <f aca="false">100*LN(C114)</f>
        <v>450.944091837874</v>
      </c>
      <c r="E114" s="2" t="n">
        <f aca="false">E$2*COS((PI()*E$1*$A114)/6)</f>
        <v>0.0804949999999993</v>
      </c>
      <c r="F114" s="2" t="n">
        <f aca="false">F$2*SIN((PI()*F$1*$A114)/6)</f>
        <v>-0.143999240039662</v>
      </c>
      <c r="G114" s="1" t="n">
        <f aca="false">G$2*COS((PI()*G$1*$A114)/6)</f>
        <v>-0.144634500000002</v>
      </c>
      <c r="H114" s="1" t="n">
        <f aca="false">H$2*SIN((PI()*H$1*$A114)/6)</f>
        <v>0.499983312392271</v>
      </c>
      <c r="I114" s="1" t="n">
        <f aca="false">I$2*COS((PI()*I$1*$A114)/6)</f>
        <v>0.086102</v>
      </c>
      <c r="J114" s="1" t="n">
        <f aca="false">J$2*SIN((PI()*J$1*$A114)/6)</f>
        <v>2.27830351361056E-016</v>
      </c>
      <c r="K114" s="1" t="n">
        <f aca="false">K$2*COS((PI()*K$1*$A114)/6)</f>
        <v>-0.0292829999999991</v>
      </c>
      <c r="L114" s="1" t="n">
        <f aca="false">L$2*SIN((PI()*L$1*$A114)/6)</f>
        <v>-0.0149874356378937</v>
      </c>
      <c r="M114" s="1" t="n">
        <f aca="false">M$2*COS((PI()*M$1*$A114)/6)</f>
        <v>0.001325</v>
      </c>
      <c r="N114" s="1" t="n">
        <f aca="false">N$2*SIN((PI()*N$1*$A114)/6)</f>
        <v>-0.0100320382774389</v>
      </c>
      <c r="O114" s="2" t="n">
        <f aca="false">O$2*(-1)^(A114)</f>
        <v>0.114941</v>
      </c>
      <c r="P114" s="2" t="n">
        <f aca="false">100*LN(C114)</f>
        <v>450.944091837874</v>
      </c>
      <c r="Q114" s="2" t="n">
        <f aca="false">SUM(E114:O114)</f>
        <v>0.439910098437275</v>
      </c>
      <c r="R114" s="2" t="n">
        <f aca="false">P114-Q114</f>
        <v>450.504181739437</v>
      </c>
      <c r="S114" s="1" t="n">
        <f aca="false">EXP(R114/100)</f>
        <v>90.4721272783917</v>
      </c>
      <c r="T114" s="2"/>
      <c r="U114" s="2"/>
      <c r="V114" s="4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L114" s="2"/>
      <c r="AM114" s="5"/>
      <c r="AN114" s="2"/>
      <c r="AO114" s="2"/>
      <c r="AP114" s="2"/>
      <c r="AR114" s="2"/>
      <c r="AS114" s="2"/>
      <c r="AT114" s="2"/>
      <c r="AU114" s="2"/>
      <c r="AW114" s="2"/>
      <c r="AX114" s="2"/>
      <c r="AY114" s="2"/>
      <c r="AZ114" s="2"/>
      <c r="BB114" s="2"/>
      <c r="BC114" s="2"/>
      <c r="BD114" s="2"/>
      <c r="BE114" s="2"/>
    </row>
    <row r="115" customFormat="false" ht="12.8" hidden="false" customHeight="false" outlineLevel="0" collapsed="false">
      <c r="A115" s="2" t="n">
        <v>113</v>
      </c>
      <c r="B115" s="2" t="s">
        <v>119</v>
      </c>
      <c r="C115" s="2" t="n">
        <v>90.841</v>
      </c>
      <c r="D115" s="2" t="n">
        <f aca="false">100*LN(C115)</f>
        <v>450.911072554313</v>
      </c>
      <c r="E115" s="2" t="n">
        <f aca="false">E$2*COS((PI()*E$1*$A115)/6)</f>
        <v>0.139421429755257</v>
      </c>
      <c r="F115" s="2" t="n">
        <f aca="false">F$2*SIN((PI()*F$1*$A115)/6)</f>
        <v>-0.0831380000000002</v>
      </c>
      <c r="G115" s="1" t="n">
        <f aca="false">G$2*COS((PI()*G$1*$A115)/6)</f>
        <v>0.144634499999999</v>
      </c>
      <c r="H115" s="1" t="n">
        <f aca="false">H$2*SIN((PI()*H$1*$A115)/6)</f>
        <v>0.499983312392275</v>
      </c>
      <c r="I115" s="1" t="n">
        <f aca="false">I$2*COS((PI()*I$1*$A115)/6)</f>
        <v>1.05460527341417E-015</v>
      </c>
      <c r="J115" s="1" t="n">
        <f aca="false">J$2*SIN((PI()*J$1*$A115)/6)</f>
        <v>-0.033221</v>
      </c>
      <c r="K115" s="1" t="n">
        <f aca="false">K$2*COS((PI()*K$1*$A115)/6)</f>
        <v>-0.0292830000000003</v>
      </c>
      <c r="L115" s="1" t="n">
        <f aca="false">L$2*SIN((PI()*L$1*$A115)/6)</f>
        <v>0.0149874356378934</v>
      </c>
      <c r="M115" s="1" t="n">
        <f aca="false">M$2*COS((PI()*M$1*$A115)/6)</f>
        <v>-0.0022949673200288</v>
      </c>
      <c r="N115" s="1" t="n">
        <f aca="false">N$2*SIN((PI()*N$1*$A115)/6)</f>
        <v>0.0057919999999997</v>
      </c>
      <c r="O115" s="2" t="n">
        <f aca="false">O$2*(-1)^(A115)</f>
        <v>-0.114941</v>
      </c>
      <c r="P115" s="2" t="n">
        <f aca="false">100*LN(C115)</f>
        <v>450.911072554313</v>
      </c>
      <c r="Q115" s="2" t="n">
        <f aca="false">SUM(E115:O115)</f>
        <v>0.541940710465395</v>
      </c>
      <c r="R115" s="2" t="n">
        <f aca="false">P115-Q115</f>
        <v>450.369131843847</v>
      </c>
      <c r="S115" s="1" t="n">
        <f aca="false">EXP(R115/100)</f>
        <v>90.3500272315152</v>
      </c>
      <c r="T115" s="2"/>
      <c r="U115" s="2"/>
      <c r="V115" s="4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L115" s="2"/>
      <c r="AM115" s="5"/>
      <c r="AN115" s="2"/>
      <c r="AO115" s="2"/>
      <c r="AP115" s="2"/>
      <c r="AR115" s="2"/>
      <c r="AS115" s="2"/>
      <c r="AT115" s="2"/>
      <c r="AU115" s="2"/>
      <c r="AW115" s="2"/>
      <c r="AX115" s="2"/>
      <c r="AY115" s="2"/>
      <c r="AZ115" s="2"/>
      <c r="BB115" s="2"/>
      <c r="BC115" s="2"/>
      <c r="BD115" s="2"/>
      <c r="BE115" s="2"/>
    </row>
    <row r="116" customFormat="false" ht="12.8" hidden="false" customHeight="false" outlineLevel="0" collapsed="false">
      <c r="A116" s="2" t="n">
        <v>114</v>
      </c>
      <c r="B116" s="2" t="s">
        <v>120</v>
      </c>
      <c r="C116" s="2" t="n">
        <v>90.713</v>
      </c>
      <c r="D116" s="2" t="n">
        <f aca="false">100*LN(C116)</f>
        <v>450.770067650859</v>
      </c>
      <c r="E116" s="2" t="n">
        <f aca="false">E$2*COS((PI()*E$1*$A116)/6)</f>
        <v>0.16099</v>
      </c>
      <c r="F116" s="2" t="n">
        <f aca="false">F$2*SIN((PI()*F$1*$A116)/6)</f>
        <v>-9.7762682488878E-016</v>
      </c>
      <c r="G116" s="1" t="n">
        <f aca="false">G$2*COS((PI()*G$1*$A116)/6)</f>
        <v>0.289269</v>
      </c>
      <c r="H116" s="1" t="n">
        <f aca="false">H$2*SIN((PI()*H$1*$A116)/6)</f>
        <v>6.7888844143456E-015</v>
      </c>
      <c r="I116" s="1" t="n">
        <f aca="false">I$2*COS((PI()*I$1*$A116)/6)</f>
        <v>-0.086102</v>
      </c>
      <c r="J116" s="1" t="n">
        <f aca="false">J$2*SIN((PI()*J$1*$A116)/6)</f>
        <v>-5.85972853862797E-016</v>
      </c>
      <c r="K116" s="1" t="n">
        <f aca="false">K$2*COS((PI()*K$1*$A116)/6)</f>
        <v>0.058566</v>
      </c>
      <c r="L116" s="1" t="n">
        <f aca="false">L$2*SIN((PI()*L$1*$A116)/6)</f>
        <v>4.07005456747221E-016</v>
      </c>
      <c r="M116" s="1" t="n">
        <f aca="false">M$2*COS((PI()*M$1*$A116)/6)</f>
        <v>0.00265</v>
      </c>
      <c r="N116" s="1" t="n">
        <f aca="false">N$2*SIN((PI()*N$1*$A116)/6)</f>
        <v>1.13060251868929E-017</v>
      </c>
      <c r="O116" s="2" t="n">
        <f aca="false">O$2*(-1)^(A116)</f>
        <v>0.114941</v>
      </c>
      <c r="P116" s="2" t="n">
        <f aca="false">100*LN(C116)</f>
        <v>450.770067650859</v>
      </c>
      <c r="Q116" s="2" t="n">
        <f aca="false">SUM(E116:O116)</f>
        <v>0.540314000000006</v>
      </c>
      <c r="R116" s="2" t="n">
        <f aca="false">P116-Q116</f>
        <v>450.229753650859</v>
      </c>
      <c r="S116" s="1" t="n">
        <f aca="false">EXP(R116/100)</f>
        <v>90.2241867136873</v>
      </c>
      <c r="T116" s="2"/>
      <c r="U116" s="2"/>
      <c r="V116" s="4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L116" s="2"/>
      <c r="AM116" s="5"/>
      <c r="AN116" s="2"/>
      <c r="AO116" s="2"/>
      <c r="AP116" s="2"/>
      <c r="AR116" s="2"/>
      <c r="AS116" s="2"/>
      <c r="AT116" s="2"/>
      <c r="AU116" s="2"/>
      <c r="AW116" s="2"/>
      <c r="AX116" s="2"/>
      <c r="AY116" s="2"/>
      <c r="AZ116" s="2"/>
      <c r="BB116" s="2"/>
      <c r="BC116" s="2"/>
      <c r="BD116" s="2"/>
      <c r="BE116" s="2"/>
    </row>
    <row r="117" customFormat="false" ht="12.8" hidden="false" customHeight="false" outlineLevel="0" collapsed="false">
      <c r="A117" s="2" t="n">
        <v>115</v>
      </c>
      <c r="B117" s="2" t="s">
        <v>121</v>
      </c>
      <c r="C117" s="2" t="n">
        <v>90.226</v>
      </c>
      <c r="D117" s="2" t="n">
        <f aca="false">100*LN(C117)</f>
        <v>450.231763387004</v>
      </c>
      <c r="E117" s="2" t="n">
        <f aca="false">E$2*COS((PI()*E$1*$A117)/6)</f>
        <v>0.139421429755256</v>
      </c>
      <c r="F117" s="2" t="n">
        <f aca="false">F$2*SIN((PI()*F$1*$A117)/6)</f>
        <v>0.0831380000000006</v>
      </c>
      <c r="G117" s="1" t="n">
        <f aca="false">G$2*COS((PI()*G$1*$A117)/6)</f>
        <v>0.144634499999998</v>
      </c>
      <c r="H117" s="1" t="n">
        <f aca="false">H$2*SIN((PI()*H$1*$A117)/6)</f>
        <v>-0.499983312392276</v>
      </c>
      <c r="I117" s="1" t="n">
        <f aca="false">I$2*COS((PI()*I$1*$A117)/6)</f>
        <v>4.64329038576217E-016</v>
      </c>
      <c r="J117" s="1" t="n">
        <f aca="false">J$2*SIN((PI()*J$1*$A117)/6)</f>
        <v>0.033221</v>
      </c>
      <c r="K117" s="1" t="n">
        <f aca="false">K$2*COS((PI()*K$1*$A117)/6)</f>
        <v>-0.0292830000000008</v>
      </c>
      <c r="L117" s="1" t="n">
        <f aca="false">L$2*SIN((PI()*L$1*$A117)/6)</f>
        <v>-0.0149874356378934</v>
      </c>
      <c r="M117" s="1" t="n">
        <f aca="false">M$2*COS((PI()*M$1*$A117)/6)</f>
        <v>-0.00229496732002872</v>
      </c>
      <c r="N117" s="1" t="n">
        <f aca="false">N$2*SIN((PI()*N$1*$A117)/6)</f>
        <v>-0.00579200000000029</v>
      </c>
      <c r="O117" s="2" t="n">
        <f aca="false">O$2*(-1)^(A117)</f>
        <v>-0.114941</v>
      </c>
      <c r="P117" s="2" t="n">
        <f aca="false">100*LN(C117)</f>
        <v>450.231763387004</v>
      </c>
      <c r="Q117" s="2" t="n">
        <f aca="false">SUM(E117:O117)</f>
        <v>-0.266866785594944</v>
      </c>
      <c r="R117" s="2" t="n">
        <f aca="false">P117-Q117</f>
        <v>450.498630172599</v>
      </c>
      <c r="S117" s="1" t="n">
        <f aca="false">EXP(R117/100)</f>
        <v>90.4671047971906</v>
      </c>
      <c r="T117" s="2"/>
      <c r="U117" s="2"/>
      <c r="V117" s="4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L117" s="2"/>
      <c r="AM117" s="5"/>
      <c r="AN117" s="2"/>
      <c r="AO117" s="2"/>
      <c r="AP117" s="2"/>
      <c r="AR117" s="2"/>
      <c r="AS117" s="2"/>
      <c r="AT117" s="2"/>
      <c r="AU117" s="2"/>
      <c r="AW117" s="2"/>
      <c r="AX117" s="2"/>
      <c r="AY117" s="2"/>
      <c r="AZ117" s="2"/>
      <c r="BB117" s="2"/>
      <c r="BC117" s="2"/>
      <c r="BD117" s="2"/>
      <c r="BE117" s="2"/>
    </row>
    <row r="118" customFormat="false" ht="12.8" hidden="false" customHeight="false" outlineLevel="0" collapsed="false">
      <c r="A118" s="2" t="n">
        <v>116</v>
      </c>
      <c r="B118" s="2" t="s">
        <v>122</v>
      </c>
      <c r="C118" s="2" t="n">
        <v>90.338</v>
      </c>
      <c r="D118" s="2" t="n">
        <f aca="false">100*LN(C118)</f>
        <v>450.355819139384</v>
      </c>
      <c r="E118" s="2" t="n">
        <f aca="false">E$2*COS((PI()*E$1*$A118)/6)</f>
        <v>0.080495</v>
      </c>
      <c r="F118" s="2" t="n">
        <f aca="false">F$2*SIN((PI()*F$1*$A118)/6)</f>
        <v>0.143999240039661</v>
      </c>
      <c r="G118" s="1" t="n">
        <f aca="false">G$2*COS((PI()*G$1*$A118)/6)</f>
        <v>-0.1446345</v>
      </c>
      <c r="H118" s="1" t="n">
        <f aca="false">H$2*SIN((PI()*H$1*$A118)/6)</f>
        <v>-0.499983312392274</v>
      </c>
      <c r="I118" s="1" t="n">
        <f aca="false">I$2*COS((PI()*I$1*$A118)/6)</f>
        <v>0.086102</v>
      </c>
      <c r="J118" s="1" t="n">
        <f aca="false">J$2*SIN((PI()*J$1*$A118)/6)</f>
        <v>9.44115356364539E-016</v>
      </c>
      <c r="K118" s="1" t="n">
        <f aca="false">K$2*COS((PI()*K$1*$A118)/6)</f>
        <v>-0.029283</v>
      </c>
      <c r="L118" s="1" t="n">
        <f aca="false">L$2*SIN((PI()*L$1*$A118)/6)</f>
        <v>0.0149874356378935</v>
      </c>
      <c r="M118" s="1" t="n">
        <f aca="false">M$2*COS((PI()*M$1*$A118)/6)</f>
        <v>0.001325</v>
      </c>
      <c r="N118" s="1" t="n">
        <f aca="false">N$2*SIN((PI()*N$1*$A118)/6)</f>
        <v>0.0100320382774389</v>
      </c>
      <c r="O118" s="2" t="n">
        <f aca="false">O$2*(-1)^(A118)</f>
        <v>0.114941</v>
      </c>
      <c r="P118" s="2" t="n">
        <f aca="false">100*LN(C118)</f>
        <v>450.355819139384</v>
      </c>
      <c r="Q118" s="2" t="n">
        <f aca="false">SUM(E118:O118)</f>
        <v>-0.222019098437279</v>
      </c>
      <c r="R118" s="2" t="n">
        <f aca="false">P118-Q118</f>
        <v>450.577838237821</v>
      </c>
      <c r="S118" s="1" t="n">
        <f aca="false">EXP(R118/100)</f>
        <v>90.5387904272156</v>
      </c>
      <c r="T118" s="2"/>
      <c r="U118" s="2"/>
      <c r="V118" s="4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L118" s="2"/>
      <c r="AM118" s="5"/>
      <c r="AN118" s="2"/>
      <c r="AO118" s="2"/>
      <c r="AP118" s="2"/>
      <c r="AR118" s="2"/>
      <c r="AS118" s="2"/>
      <c r="AT118" s="2"/>
      <c r="AU118" s="2"/>
      <c r="AW118" s="2"/>
      <c r="AX118" s="2"/>
      <c r="AY118" s="2"/>
      <c r="AZ118" s="2"/>
      <c r="BB118" s="2"/>
      <c r="BC118" s="2"/>
      <c r="BD118" s="2"/>
      <c r="BE118" s="2"/>
    </row>
    <row r="119" customFormat="false" ht="12.8" hidden="false" customHeight="false" outlineLevel="0" collapsed="false">
      <c r="A119" s="2" t="n">
        <v>117</v>
      </c>
      <c r="B119" s="2" t="s">
        <v>123</v>
      </c>
      <c r="C119" s="2" t="n">
        <v>90.559</v>
      </c>
      <c r="D119" s="2" t="n">
        <f aca="false">100*LN(C119)</f>
        <v>450.600157199108</v>
      </c>
      <c r="E119" s="2" t="n">
        <f aca="false">E$2*COS((PI()*E$1*$A119)/6)</f>
        <v>6.70429669554774E-016</v>
      </c>
      <c r="F119" s="2" t="n">
        <f aca="false">F$2*SIN((PI()*F$1*$A119)/6)</f>
        <v>0.166276</v>
      </c>
      <c r="G119" s="1" t="n">
        <f aca="false">G$2*COS((PI()*G$1*$A119)/6)</f>
        <v>-0.289269</v>
      </c>
      <c r="H119" s="1" t="n">
        <f aca="false">H$2*SIN((PI()*H$1*$A119)/6)</f>
        <v>-4.80849532956988E-015</v>
      </c>
      <c r="I119" s="1" t="n">
        <f aca="false">I$2*COS((PI()*I$1*$A119)/6)</f>
        <v>4.63902674810044E-016</v>
      </c>
      <c r="J119" s="1" t="n">
        <f aca="false">J$2*SIN((PI()*J$1*$A119)/6)</f>
        <v>-0.033221</v>
      </c>
      <c r="K119" s="1" t="n">
        <f aca="false">K$2*COS((PI()*K$1*$A119)/6)</f>
        <v>0.058566</v>
      </c>
      <c r="L119" s="1" t="n">
        <f aca="false">L$2*SIN((PI()*L$1*$A119)/6)</f>
        <v>2.88277678397787E-016</v>
      </c>
      <c r="M119" s="1" t="n">
        <f aca="false">M$2*COS((PI()*M$1*$A119)/6)</f>
        <v>7.40079222926657E-017</v>
      </c>
      <c r="N119" s="1" t="n">
        <f aca="false">N$2*SIN((PI()*N$1*$A119)/6)</f>
        <v>-0.011584</v>
      </c>
      <c r="O119" s="2" t="n">
        <f aca="false">O$2*(-1)^(A119)</f>
        <v>-0.114941</v>
      </c>
      <c r="P119" s="2" t="n">
        <f aca="false">100*LN(C119)</f>
        <v>450.600157199108</v>
      </c>
      <c r="Q119" s="2" t="n">
        <f aca="false">SUM(E119:O119)</f>
        <v>-0.224173000000003</v>
      </c>
      <c r="R119" s="2" t="n">
        <f aca="false">P119-Q119</f>
        <v>450.824330199108</v>
      </c>
      <c r="S119" s="1" t="n">
        <f aca="false">EXP(R119/100)</f>
        <v>90.7622365426861</v>
      </c>
      <c r="T119" s="2"/>
      <c r="U119" s="2"/>
      <c r="V119" s="4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L119" s="2"/>
      <c r="AM119" s="5"/>
      <c r="AN119" s="2"/>
      <c r="AO119" s="2"/>
      <c r="AP119" s="2"/>
      <c r="AR119" s="2"/>
      <c r="AS119" s="2"/>
      <c r="AT119" s="2"/>
      <c r="AU119" s="2"/>
      <c r="AW119" s="2"/>
      <c r="AX119" s="2"/>
      <c r="AY119" s="2"/>
      <c r="AZ119" s="2"/>
      <c r="BB119" s="2"/>
      <c r="BC119" s="2"/>
      <c r="BD119" s="2"/>
      <c r="BE119" s="2"/>
    </row>
    <row r="120" customFormat="false" ht="12.8" hidden="false" customHeight="false" outlineLevel="0" collapsed="false">
      <c r="A120" s="2" t="n">
        <v>118</v>
      </c>
      <c r="B120" s="2" t="s">
        <v>124</v>
      </c>
      <c r="C120" s="2" t="n">
        <v>91.273</v>
      </c>
      <c r="D120" s="2" t="n">
        <f aca="false">100*LN(C120)</f>
        <v>451.385501549665</v>
      </c>
      <c r="E120" s="2" t="n">
        <f aca="false">E$2*COS((PI()*E$1*$A120)/6)</f>
        <v>-0.0804949999999998</v>
      </c>
      <c r="F120" s="2" t="n">
        <f aca="false">F$2*SIN((PI()*F$1*$A120)/6)</f>
        <v>0.143999240039661</v>
      </c>
      <c r="G120" s="1" t="n">
        <f aca="false">G$2*COS((PI()*G$1*$A120)/6)</f>
        <v>-0.144634500000001</v>
      </c>
      <c r="H120" s="1" t="n">
        <f aca="false">H$2*SIN((PI()*H$1*$A120)/6)</f>
        <v>0.499983312392273</v>
      </c>
      <c r="I120" s="1" t="n">
        <f aca="false">I$2*COS((PI()*I$1*$A120)/6)</f>
        <v>-0.086102</v>
      </c>
      <c r="J120" s="1" t="n">
        <f aca="false">J$2*SIN((PI()*J$1*$A120)/6)</f>
        <v>5.86137359108622E-016</v>
      </c>
      <c r="K120" s="1" t="n">
        <f aca="false">K$2*COS((PI()*K$1*$A120)/6)</f>
        <v>-0.0292829999999998</v>
      </c>
      <c r="L120" s="1" t="n">
        <f aca="false">L$2*SIN((PI()*L$1*$A120)/6)</f>
        <v>-0.0149874356378935</v>
      </c>
      <c r="M120" s="1" t="n">
        <f aca="false">M$2*COS((PI()*M$1*$A120)/6)</f>
        <v>-0.001325</v>
      </c>
      <c r="N120" s="1" t="n">
        <f aca="false">N$2*SIN((PI()*N$1*$A120)/6)</f>
        <v>0.0100320382774389</v>
      </c>
      <c r="O120" s="2" t="n">
        <f aca="false">O$2*(-1)^(A120)</f>
        <v>0.114941</v>
      </c>
      <c r="P120" s="2" t="n">
        <f aca="false">100*LN(C120)</f>
        <v>451.385501549665</v>
      </c>
      <c r="Q120" s="2" t="n">
        <f aca="false">SUM(E120:O120)</f>
        <v>0.41212865507148</v>
      </c>
      <c r="R120" s="2" t="n">
        <f aca="false">P120-Q120</f>
        <v>450.973372894593</v>
      </c>
      <c r="S120" s="1" t="n">
        <f aca="false">EXP(R120/100)</f>
        <v>90.8976118849821</v>
      </c>
      <c r="T120" s="2"/>
      <c r="U120" s="2"/>
      <c r="V120" s="4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L120" s="2"/>
      <c r="AM120" s="5"/>
      <c r="AN120" s="2"/>
      <c r="AO120" s="2"/>
      <c r="AP120" s="2"/>
      <c r="AR120" s="2"/>
      <c r="AS120" s="2"/>
      <c r="AT120" s="2"/>
      <c r="AU120" s="2"/>
      <c r="AW120" s="2"/>
      <c r="AX120" s="2"/>
      <c r="AY120" s="2"/>
      <c r="AZ120" s="2"/>
      <c r="BB120" s="2"/>
      <c r="BC120" s="2"/>
      <c r="BD120" s="2"/>
      <c r="BE120" s="2"/>
    </row>
    <row r="121" customFormat="false" ht="12.8" hidden="false" customHeight="false" outlineLevel="0" collapsed="false">
      <c r="A121" s="2" t="n">
        <v>119</v>
      </c>
      <c r="B121" s="2" t="s">
        <v>125</v>
      </c>
      <c r="C121" s="2" t="n">
        <v>91.643</v>
      </c>
      <c r="D121" s="2" t="n">
        <f aca="false">100*LN(C121)</f>
        <v>451.790059384562</v>
      </c>
      <c r="E121" s="2" t="n">
        <f aca="false">E$2*COS((PI()*E$1*$A121)/6)</f>
        <v>-0.139421429755256</v>
      </c>
      <c r="F121" s="2" t="n">
        <f aca="false">F$2*SIN((PI()*F$1*$A121)/6)</f>
        <v>0.0831380000000008</v>
      </c>
      <c r="G121" s="1" t="n">
        <f aca="false">G$2*COS((PI()*G$1*$A121)/6)</f>
        <v>0.144634499999997</v>
      </c>
      <c r="H121" s="1" t="n">
        <f aca="false">H$2*SIN((PI()*H$1*$A121)/6)</f>
        <v>0.499983312392277</v>
      </c>
      <c r="I121" s="1" t="n">
        <f aca="false">I$2*COS((PI()*I$1*$A121)/6)</f>
        <v>-1.3921343881963E-015</v>
      </c>
      <c r="J121" s="1" t="n">
        <f aca="false">J$2*SIN((PI()*J$1*$A121)/6)</f>
        <v>0.033221</v>
      </c>
      <c r="K121" s="1" t="n">
        <f aca="false">K$2*COS((PI()*K$1*$A121)/6)</f>
        <v>-0.0292830000000011</v>
      </c>
      <c r="L121" s="1" t="n">
        <f aca="false">L$2*SIN((PI()*L$1*$A121)/6)</f>
        <v>0.0149874356378933</v>
      </c>
      <c r="M121" s="1" t="n">
        <f aca="false">M$2*COS((PI()*M$1*$A121)/6)</f>
        <v>0.0022949673200288</v>
      </c>
      <c r="N121" s="1" t="n">
        <f aca="false">N$2*SIN((PI()*N$1*$A121)/6)</f>
        <v>-0.00579199999999973</v>
      </c>
      <c r="O121" s="2" t="n">
        <f aca="false">O$2*(-1)^(A121)</f>
        <v>-0.114941</v>
      </c>
      <c r="P121" s="2" t="n">
        <f aca="false">100*LN(C121)</f>
        <v>451.790059384562</v>
      </c>
      <c r="Q121" s="2" t="n">
        <f aca="false">SUM(E121:O121)</f>
        <v>0.488821785594939</v>
      </c>
      <c r="R121" s="2" t="n">
        <f aca="false">P121-Q121</f>
        <v>451.301237598967</v>
      </c>
      <c r="S121" s="1" t="n">
        <f aca="false">EXP(R121/100)</f>
        <v>91.1961221589812</v>
      </c>
      <c r="T121" s="2"/>
      <c r="U121" s="2"/>
      <c r="V121" s="4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L121" s="2"/>
      <c r="AM121" s="5"/>
      <c r="AN121" s="2"/>
      <c r="AO121" s="2"/>
      <c r="AP121" s="2"/>
      <c r="AR121" s="2"/>
      <c r="AS121" s="2"/>
      <c r="AT121" s="2"/>
      <c r="AU121" s="2"/>
      <c r="AW121" s="2"/>
      <c r="AX121" s="2"/>
      <c r="AY121" s="2"/>
      <c r="AZ121" s="2"/>
      <c r="BB121" s="2"/>
      <c r="BC121" s="2"/>
      <c r="BD121" s="2"/>
      <c r="BE121" s="2"/>
    </row>
    <row r="122" customFormat="false" ht="12.8" hidden="false" customHeight="false" outlineLevel="0" collapsed="false">
      <c r="A122" s="2" t="n">
        <v>120</v>
      </c>
      <c r="B122" s="2" t="s">
        <v>126</v>
      </c>
      <c r="C122" s="2" t="n">
        <v>91.762</v>
      </c>
      <c r="D122" s="2" t="n">
        <f aca="false">100*LN(C122)</f>
        <v>451.919826857312</v>
      </c>
      <c r="E122" s="2" t="n">
        <f aca="false">E$2*COS((PI()*E$1*$A122)/6)</f>
        <v>-0.16099</v>
      </c>
      <c r="F122" s="2" t="n">
        <f aca="false">F$2*SIN((PI()*F$1*$A122)/6)</f>
        <v>1.58872078166251E-015</v>
      </c>
      <c r="G122" s="1" t="n">
        <f aca="false">G$2*COS((PI()*G$1*$A122)/6)</f>
        <v>0.289269</v>
      </c>
      <c r="H122" s="1" t="n">
        <f aca="false">H$2*SIN((PI()*H$1*$A122)/6)</f>
        <v>1.10324732083765E-014</v>
      </c>
      <c r="I122" s="1" t="n">
        <f aca="false">I$2*COS((PI()*I$1*$A122)/6)</f>
        <v>0.086102</v>
      </c>
      <c r="J122" s="1" t="n">
        <f aca="false">J$2*SIN((PI()*J$1*$A122)/6)</f>
        <v>-2.2799485660688E-016</v>
      </c>
      <c r="K122" s="1" t="n">
        <f aca="false">K$2*COS((PI()*K$1*$A122)/6)</f>
        <v>0.058566</v>
      </c>
      <c r="L122" s="1" t="n">
        <f aca="false">L$2*SIN((PI()*L$1*$A122)/6)</f>
        <v>6.61416003450924E-016</v>
      </c>
      <c r="M122" s="1" t="n">
        <f aca="false">M$2*COS((PI()*M$1*$A122)/6)</f>
        <v>-0.00265</v>
      </c>
      <c r="N122" s="1" t="n">
        <f aca="false">N$2*SIN((PI()*N$1*$A122)/6)</f>
        <v>2.27554558076706E-017</v>
      </c>
      <c r="O122" s="2" t="n">
        <f aca="false">O$2*(-1)^(A122)</f>
        <v>0.114941</v>
      </c>
      <c r="P122" s="2" t="n">
        <f aca="false">100*LN(C122)</f>
        <v>451.919826857312</v>
      </c>
      <c r="Q122" s="2" t="n">
        <f aca="false">SUM(E122:O122)</f>
        <v>0.385238000000013</v>
      </c>
      <c r="R122" s="2" t="n">
        <f aca="false">P122-Q122</f>
        <v>451.534588857312</v>
      </c>
      <c r="S122" s="1" t="n">
        <f aca="false">EXP(R122/100)</f>
        <v>91.4091779451015</v>
      </c>
      <c r="T122" s="2"/>
      <c r="U122" s="2"/>
      <c r="V122" s="4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L122" s="2"/>
      <c r="AM122" s="5"/>
      <c r="AN122" s="2"/>
      <c r="AO122" s="2"/>
      <c r="AP122" s="2"/>
      <c r="AR122" s="2"/>
      <c r="AS122" s="2"/>
      <c r="AT122" s="2"/>
      <c r="AU122" s="2"/>
      <c r="AW122" s="2"/>
      <c r="AX122" s="2"/>
      <c r="AY122" s="2"/>
      <c r="AZ122" s="2"/>
      <c r="BB122" s="2"/>
      <c r="BC122" s="2"/>
      <c r="BD122" s="2"/>
      <c r="BE122" s="2"/>
    </row>
    <row r="123" customFormat="false" ht="12.8" hidden="false" customHeight="false" outlineLevel="0" collapsed="false">
      <c r="A123" s="2" t="n">
        <v>121</v>
      </c>
      <c r="B123" s="2" t="s">
        <v>127</v>
      </c>
      <c r="C123" s="2" t="n">
        <v>90.753</v>
      </c>
      <c r="D123" s="2" t="n">
        <f aca="false">100*LN(C123)</f>
        <v>450.81415304498</v>
      </c>
      <c r="E123" s="2" t="n">
        <f aca="false">E$2*COS((PI()*E$1*$A123)/6)</f>
        <v>-0.139421429755257</v>
      </c>
      <c r="F123" s="2" t="n">
        <f aca="false">F$2*SIN((PI()*F$1*$A123)/6)</f>
        <v>-0.0831380000000001</v>
      </c>
      <c r="G123" s="1" t="n">
        <f aca="false">G$2*COS((PI()*G$1*$A123)/6)</f>
        <v>0.1446345</v>
      </c>
      <c r="H123" s="1" t="n">
        <f aca="false">H$2*SIN((PI()*H$1*$A123)/6)</f>
        <v>-0.499983312392274</v>
      </c>
      <c r="I123" s="1" t="n">
        <f aca="false">I$2*COS((PI()*I$1*$A123)/6)</f>
        <v>-1.2679992379408E-016</v>
      </c>
      <c r="J123" s="1" t="n">
        <f aca="false">J$2*SIN((PI()*J$1*$A123)/6)</f>
        <v>-0.033221</v>
      </c>
      <c r="K123" s="1" t="n">
        <f aca="false">K$2*COS((PI()*K$1*$A123)/6)</f>
        <v>-0.0292830000000001</v>
      </c>
      <c r="L123" s="1" t="n">
        <f aca="false">L$2*SIN((PI()*L$1*$A123)/6)</f>
        <v>-0.0149874356378935</v>
      </c>
      <c r="M123" s="1" t="n">
        <f aca="false">M$2*COS((PI()*M$1*$A123)/6)</f>
        <v>0.00229496732002873</v>
      </c>
      <c r="N123" s="1" t="n">
        <f aca="false">N$2*SIN((PI()*N$1*$A123)/6)</f>
        <v>0.00579200000000026</v>
      </c>
      <c r="O123" s="2" t="n">
        <f aca="false">O$2*(-1)^(A123)</f>
        <v>-0.114941</v>
      </c>
      <c r="P123" s="2" t="n">
        <f aca="false">100*LN(C123)</f>
        <v>450.81415304498</v>
      </c>
      <c r="Q123" s="2" t="n">
        <f aca="false">SUM(E123:O123)</f>
        <v>-0.762253710465396</v>
      </c>
      <c r="R123" s="2" t="n">
        <f aca="false">P123-Q123</f>
        <v>451.576406755446</v>
      </c>
      <c r="S123" s="1" t="n">
        <f aca="false">EXP(R123/100)</f>
        <v>91.4474113356619</v>
      </c>
      <c r="T123" s="2"/>
      <c r="U123" s="2"/>
      <c r="V123" s="4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L123" s="2"/>
      <c r="AM123" s="5"/>
      <c r="AN123" s="2"/>
      <c r="AO123" s="2"/>
      <c r="AP123" s="2"/>
      <c r="AR123" s="2"/>
      <c r="AS123" s="2"/>
      <c r="AT123" s="2"/>
      <c r="AU123" s="2"/>
      <c r="AW123" s="2"/>
      <c r="AX123" s="2"/>
      <c r="AY123" s="2"/>
      <c r="AZ123" s="2"/>
      <c r="BB123" s="2"/>
      <c r="BC123" s="2"/>
      <c r="BD123" s="2"/>
      <c r="BE123" s="2"/>
    </row>
    <row r="124" customFormat="false" ht="12.8" hidden="false" customHeight="false" outlineLevel="0" collapsed="false">
      <c r="A124" s="2" t="n">
        <v>122</v>
      </c>
      <c r="B124" s="2" t="s">
        <v>128</v>
      </c>
      <c r="C124" s="2" t="n">
        <v>90.847</v>
      </c>
      <c r="D124" s="2" t="n">
        <f aca="false">100*LN(C124)</f>
        <v>450.917677283301</v>
      </c>
      <c r="E124" s="2" t="n">
        <f aca="false">E$2*COS((PI()*E$1*$A124)/6)</f>
        <v>-0.0804950000000005</v>
      </c>
      <c r="F124" s="2" t="n">
        <f aca="false">F$2*SIN((PI()*F$1*$A124)/6)</f>
        <v>-0.143999240039661</v>
      </c>
      <c r="G124" s="1" t="n">
        <f aca="false">G$2*COS((PI()*G$1*$A124)/6)</f>
        <v>-0.144634499999998</v>
      </c>
      <c r="H124" s="1" t="n">
        <f aca="false">H$2*SIN((PI()*H$1*$A124)/6)</f>
        <v>-0.499983312392276</v>
      </c>
      <c r="I124" s="1" t="n">
        <f aca="false">I$2*COS((PI()*I$1*$A124)/6)</f>
        <v>-0.086102</v>
      </c>
      <c r="J124" s="1" t="n">
        <f aca="false">J$2*SIN((PI()*J$1*$A124)/6)</f>
        <v>-1.30147645894861E-016</v>
      </c>
      <c r="K124" s="1" t="n">
        <f aca="false">K$2*COS((PI()*K$1*$A124)/6)</f>
        <v>-0.0292830000000008</v>
      </c>
      <c r="L124" s="1" t="n">
        <f aca="false">L$2*SIN((PI()*L$1*$A124)/6)</f>
        <v>0.0149874356378934</v>
      </c>
      <c r="M124" s="1" t="n">
        <f aca="false">M$2*COS((PI()*M$1*$A124)/6)</f>
        <v>-0.00132500000000001</v>
      </c>
      <c r="N124" s="1" t="n">
        <f aca="false">N$2*SIN((PI()*N$1*$A124)/6)</f>
        <v>-0.0100320382774389</v>
      </c>
      <c r="O124" s="2" t="n">
        <f aca="false">O$2*(-1)^(A124)</f>
        <v>0.114941</v>
      </c>
      <c r="P124" s="2" t="n">
        <f aca="false">100*LN(C124)</f>
        <v>450.917677283301</v>
      </c>
      <c r="Q124" s="2" t="n">
        <f aca="false">SUM(E124:O124)</f>
        <v>-0.865925655071482</v>
      </c>
      <c r="R124" s="2" t="n">
        <f aca="false">P124-Q124</f>
        <v>451.783602938372</v>
      </c>
      <c r="S124" s="1" t="n">
        <f aca="false">EXP(R124/100)</f>
        <v>91.6370833100247</v>
      </c>
      <c r="T124" s="2"/>
      <c r="U124" s="2"/>
      <c r="V124" s="4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L124" s="2"/>
      <c r="AM124" s="5"/>
      <c r="AN124" s="2"/>
      <c r="AO124" s="2"/>
      <c r="AP124" s="2"/>
      <c r="AR124" s="2"/>
      <c r="AS124" s="2"/>
      <c r="AT124" s="2"/>
      <c r="AU124" s="2"/>
      <c r="AW124" s="2"/>
      <c r="AX124" s="2"/>
      <c r="AY124" s="2"/>
      <c r="AZ124" s="2"/>
      <c r="BB124" s="2"/>
      <c r="BC124" s="2"/>
      <c r="BD124" s="2"/>
      <c r="BE124" s="2"/>
    </row>
    <row r="125" customFormat="false" ht="12.8" hidden="false" customHeight="false" outlineLevel="0" collapsed="false">
      <c r="A125" s="2" t="n">
        <v>123</v>
      </c>
      <c r="B125" s="2" t="s">
        <v>129</v>
      </c>
      <c r="C125" s="2" t="n">
        <v>91.458</v>
      </c>
      <c r="D125" s="2" t="n">
        <f aca="false">100*LN(C125)</f>
        <v>451.587985050776</v>
      </c>
      <c r="E125" s="2" t="n">
        <f aca="false">E$2*COS((PI()*E$1*$A125)/6)</f>
        <v>-1.26209663352434E-015</v>
      </c>
      <c r="F125" s="2" t="n">
        <f aca="false">F$2*SIN((PI()*F$1*$A125)/6)</f>
        <v>-0.166276</v>
      </c>
      <c r="G125" s="1" t="n">
        <f aca="false">G$2*COS((PI()*G$1*$A125)/6)</f>
        <v>-0.289269</v>
      </c>
      <c r="H125" s="1" t="n">
        <f aca="false">H$2*SIN((PI()*H$1*$A125)/6)</f>
        <v>-9.05208412360073E-015</v>
      </c>
      <c r="I125" s="1" t="n">
        <f aca="false">I$2*COS((PI()*I$1*$A125)/6)</f>
        <v>-8.01431789592181E-016</v>
      </c>
      <c r="J125" s="1" t="n">
        <f aca="false">J$2*SIN((PI()*J$1*$A125)/6)</f>
        <v>0.033221</v>
      </c>
      <c r="K125" s="1" t="n">
        <f aca="false">K$2*COS((PI()*K$1*$A125)/6)</f>
        <v>0.058566</v>
      </c>
      <c r="L125" s="1" t="n">
        <f aca="false">L$2*SIN((PI()*L$1*$A125)/6)</f>
        <v>5.4268822510149E-016</v>
      </c>
      <c r="M125" s="1" t="n">
        <f aca="false">M$2*COS((PI()*M$1*$A125)/6)</f>
        <v>-6.62158880527146E-017</v>
      </c>
      <c r="N125" s="1" t="n">
        <f aca="false">N$2*SIN((PI()*N$1*$A125)/6)</f>
        <v>0.011584</v>
      </c>
      <c r="O125" s="2" t="n">
        <f aca="false">O$2*(-1)^(A125)</f>
        <v>-0.114941</v>
      </c>
      <c r="P125" s="2" t="n">
        <f aca="false">100*LN(C125)</f>
        <v>451.587985050776</v>
      </c>
      <c r="Q125" s="2" t="n">
        <f aca="false">SUM(E125:O125)</f>
        <v>-0.467115000000011</v>
      </c>
      <c r="R125" s="2" t="n">
        <f aca="false">P125-Q125</f>
        <v>452.055100050776</v>
      </c>
      <c r="S125" s="1" t="n">
        <f aca="false">EXP(R125/100)</f>
        <v>91.8862133825494</v>
      </c>
      <c r="T125" s="2"/>
      <c r="U125" s="2"/>
      <c r="V125" s="4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L125" s="2"/>
      <c r="AM125" s="5"/>
      <c r="AN125" s="2"/>
      <c r="AO125" s="2"/>
      <c r="AP125" s="2"/>
      <c r="AR125" s="2"/>
      <c r="AS125" s="2"/>
      <c r="AT125" s="2"/>
      <c r="AU125" s="2"/>
      <c r="AW125" s="2"/>
      <c r="AX125" s="2"/>
      <c r="AY125" s="2"/>
      <c r="AZ125" s="2"/>
      <c r="BB125" s="2"/>
      <c r="BC125" s="2"/>
      <c r="BD125" s="2"/>
      <c r="BE125" s="2"/>
    </row>
    <row r="126" customFormat="false" ht="12.8" hidden="false" customHeight="false" outlineLevel="0" collapsed="false">
      <c r="A126" s="2" t="n">
        <v>124</v>
      </c>
      <c r="B126" s="2" t="s">
        <v>130</v>
      </c>
      <c r="C126" s="2" t="n">
        <v>92.743</v>
      </c>
      <c r="D126" s="2" t="n">
        <f aca="false">100*LN(C126)</f>
        <v>452.98322269413</v>
      </c>
      <c r="E126" s="2" t="n">
        <f aca="false">E$2*COS((PI()*E$1*$A126)/6)</f>
        <v>0.0804949999999993</v>
      </c>
      <c r="F126" s="2" t="n">
        <f aca="false">F$2*SIN((PI()*F$1*$A126)/6)</f>
        <v>-0.143999240039662</v>
      </c>
      <c r="G126" s="1" t="n">
        <f aca="false">G$2*COS((PI()*G$1*$A126)/6)</f>
        <v>-0.144634500000002</v>
      </c>
      <c r="H126" s="1" t="n">
        <f aca="false">H$2*SIN((PI()*H$1*$A126)/6)</f>
        <v>0.499983312392271</v>
      </c>
      <c r="I126" s="1" t="n">
        <f aca="false">I$2*COS((PI()*I$1*$A126)/6)</f>
        <v>0.086102</v>
      </c>
      <c r="J126" s="1" t="n">
        <f aca="false">J$2*SIN((PI()*J$1*$A126)/6)</f>
        <v>4.88290148396603E-016</v>
      </c>
      <c r="K126" s="1" t="n">
        <f aca="false">K$2*COS((PI()*K$1*$A126)/6)</f>
        <v>-0.029282999999999</v>
      </c>
      <c r="L126" s="1" t="n">
        <f aca="false">L$2*SIN((PI()*L$1*$A126)/6)</f>
        <v>-0.0149874356378937</v>
      </c>
      <c r="M126" s="1" t="n">
        <f aca="false">M$2*COS((PI()*M$1*$A126)/6)</f>
        <v>0.00132499999999999</v>
      </c>
      <c r="N126" s="1" t="n">
        <f aca="false">N$2*SIN((PI()*N$1*$A126)/6)</f>
        <v>-0.010032038277439</v>
      </c>
      <c r="O126" s="2" t="n">
        <f aca="false">O$2*(-1)^(A126)</f>
        <v>0.114941</v>
      </c>
      <c r="P126" s="2" t="n">
        <f aca="false">100*LN(C126)</f>
        <v>452.98322269413</v>
      </c>
      <c r="Q126" s="2" t="n">
        <f aca="false">SUM(E126:O126)</f>
        <v>0.439910098437275</v>
      </c>
      <c r="R126" s="2" t="n">
        <f aca="false">P126-Q126</f>
        <v>452.543312595693</v>
      </c>
      <c r="S126" s="1" t="n">
        <f aca="false">EXP(R126/100)</f>
        <v>92.3359102483727</v>
      </c>
      <c r="T126" s="2"/>
      <c r="U126" s="2"/>
      <c r="V126" s="4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L126" s="2"/>
      <c r="AM126" s="5"/>
      <c r="AN126" s="2"/>
      <c r="AO126" s="2"/>
      <c r="AP126" s="2"/>
      <c r="AR126" s="2"/>
      <c r="AS126" s="2"/>
      <c r="AT126" s="2"/>
      <c r="AU126" s="2"/>
      <c r="AW126" s="2"/>
      <c r="AX126" s="2"/>
      <c r="AY126" s="2"/>
      <c r="AZ126" s="2"/>
      <c r="BB126" s="2"/>
      <c r="BC126" s="2"/>
      <c r="BD126" s="2"/>
      <c r="BE126" s="2"/>
    </row>
    <row r="127" customFormat="false" ht="12.8" hidden="false" customHeight="false" outlineLevel="0" collapsed="false">
      <c r="A127" s="2" t="n">
        <v>125</v>
      </c>
      <c r="B127" s="2" t="s">
        <v>131</v>
      </c>
      <c r="C127" s="2" t="n">
        <v>92.606</v>
      </c>
      <c r="D127" s="2" t="n">
        <f aca="false">100*LN(C127)</f>
        <v>452.835393436946</v>
      </c>
      <c r="E127" s="2" t="n">
        <f aca="false">E$2*COS((PI()*E$1*$A127)/6)</f>
        <v>0.139421429755257</v>
      </c>
      <c r="F127" s="2" t="n">
        <f aca="false">F$2*SIN((PI()*F$1*$A127)/6)</f>
        <v>-0.0831380000000003</v>
      </c>
      <c r="G127" s="1" t="n">
        <f aca="false">G$2*COS((PI()*G$1*$A127)/6)</f>
        <v>0.144634499999999</v>
      </c>
      <c r="H127" s="1" t="n">
        <f aca="false">H$2*SIN((PI()*H$1*$A127)/6)</f>
        <v>0.499983312392275</v>
      </c>
      <c r="I127" s="1" t="n">
        <f aca="false">I$2*COS((PI()*I$1*$A127)/6)</f>
        <v>1.72966350297844E-015</v>
      </c>
      <c r="J127" s="1" t="n">
        <f aca="false">J$2*SIN((PI()*J$1*$A127)/6)</f>
        <v>-0.033221</v>
      </c>
      <c r="K127" s="1" t="n">
        <f aca="false">K$2*COS((PI()*K$1*$A127)/6)</f>
        <v>-0.0292830000000004</v>
      </c>
      <c r="L127" s="1" t="n">
        <f aca="false">L$2*SIN((PI()*L$1*$A127)/6)</f>
        <v>0.0149874356378934</v>
      </c>
      <c r="M127" s="1" t="n">
        <f aca="false">M$2*COS((PI()*M$1*$A127)/6)</f>
        <v>-0.00229496732002879</v>
      </c>
      <c r="N127" s="1" t="n">
        <f aca="false">N$2*SIN((PI()*N$1*$A127)/6)</f>
        <v>0.00579199999999976</v>
      </c>
      <c r="O127" s="2" t="n">
        <f aca="false">O$2*(-1)^(A127)</f>
        <v>-0.114941</v>
      </c>
      <c r="P127" s="2" t="n">
        <f aca="false">100*LN(C127)</f>
        <v>452.835393436946</v>
      </c>
      <c r="Q127" s="2" t="n">
        <f aca="false">SUM(E127:O127)</f>
        <v>0.541940710465396</v>
      </c>
      <c r="R127" s="2" t="n">
        <f aca="false">P127-Q127</f>
        <v>452.29345272648</v>
      </c>
      <c r="S127" s="1" t="n">
        <f aca="false">EXP(R127/100)</f>
        <v>92.1054878502184</v>
      </c>
      <c r="T127" s="2"/>
      <c r="U127" s="2"/>
      <c r="V127" s="4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L127" s="2"/>
      <c r="AM127" s="5"/>
      <c r="AN127" s="2"/>
      <c r="AO127" s="2"/>
      <c r="AP127" s="2"/>
      <c r="AR127" s="2"/>
      <c r="AS127" s="2"/>
      <c r="AT127" s="2"/>
      <c r="AU127" s="2"/>
      <c r="AW127" s="2"/>
      <c r="AX127" s="2"/>
      <c r="AY127" s="2"/>
      <c r="AZ127" s="2"/>
      <c r="BB127" s="2"/>
      <c r="BC127" s="2"/>
      <c r="BD127" s="2"/>
      <c r="BE127" s="2"/>
    </row>
    <row r="128" customFormat="false" ht="12.8" hidden="false" customHeight="false" outlineLevel="0" collapsed="false">
      <c r="A128" s="2" t="n">
        <v>126</v>
      </c>
      <c r="B128" s="2" t="s">
        <v>132</v>
      </c>
      <c r="C128" s="2" t="n">
        <v>92.433</v>
      </c>
      <c r="D128" s="2" t="n">
        <f aca="false">100*LN(C128)</f>
        <v>452.648405774445</v>
      </c>
      <c r="E128" s="2" t="n">
        <f aca="false">E$2*COS((PI()*E$1*$A128)/6)</f>
        <v>0.16099</v>
      </c>
      <c r="F128" s="2" t="n">
        <f aca="false">F$2*SIN((PI()*F$1*$A128)/6)</f>
        <v>1.63109340188679E-016</v>
      </c>
      <c r="G128" s="1" t="n">
        <f aca="false">G$2*COS((PI()*G$1*$A128)/6)</f>
        <v>0.289269</v>
      </c>
      <c r="H128" s="1" t="n">
        <f aca="false">H$2*SIN((PI()*H$1*$A128)/6)</f>
        <v>-1.13267192475727E-015</v>
      </c>
      <c r="I128" s="1" t="n">
        <f aca="false">I$2*COS((PI()*I$1*$A128)/6)</f>
        <v>-0.086102</v>
      </c>
      <c r="J128" s="1" t="n">
        <f aca="false">J$2*SIN((PI()*J$1*$A128)/6)</f>
        <v>9.77649580891068E-017</v>
      </c>
      <c r="K128" s="1" t="n">
        <f aca="false">K$2*COS((PI()*K$1*$A128)/6)</f>
        <v>0.058566</v>
      </c>
      <c r="L128" s="1" t="n">
        <f aca="false">L$2*SIN((PI()*L$1*$A128)/6)</f>
        <v>-6.79056566505155E-017</v>
      </c>
      <c r="M128" s="1" t="n">
        <f aca="false">M$2*COS((PI()*M$1*$A128)/6)</f>
        <v>0.00265</v>
      </c>
      <c r="N128" s="1" t="n">
        <f aca="false">N$2*SIN((PI()*N$1*$A128)/6)</f>
        <v>-5.68169368022342E-017</v>
      </c>
      <c r="O128" s="2" t="n">
        <f aca="false">O$2*(-1)^(A128)</f>
        <v>0.114941</v>
      </c>
      <c r="P128" s="2" t="n">
        <f aca="false">100*LN(C128)</f>
        <v>452.648405774445</v>
      </c>
      <c r="Q128" s="2" t="n">
        <f aca="false">SUM(E128:O128)</f>
        <v>0.540313999999999</v>
      </c>
      <c r="R128" s="2" t="n">
        <f aca="false">P128-Q128</f>
        <v>452.108091774445</v>
      </c>
      <c r="S128" s="1" t="n">
        <f aca="false">EXP(R128/100)</f>
        <v>91.9349183745027</v>
      </c>
      <c r="T128" s="2"/>
      <c r="U128" s="2"/>
      <c r="V128" s="4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L128" s="2"/>
      <c r="AM128" s="5"/>
      <c r="AN128" s="2"/>
      <c r="AO128" s="2"/>
      <c r="AP128" s="2"/>
      <c r="AR128" s="2"/>
      <c r="AS128" s="2"/>
      <c r="AT128" s="2"/>
      <c r="AU128" s="2"/>
      <c r="AW128" s="2"/>
      <c r="AX128" s="2"/>
      <c r="AY128" s="2"/>
      <c r="AZ128" s="2"/>
      <c r="BB128" s="2"/>
      <c r="BC128" s="2"/>
      <c r="BD128" s="2"/>
      <c r="BE128" s="2"/>
    </row>
    <row r="129" customFormat="false" ht="12.8" hidden="false" customHeight="false" outlineLevel="0" collapsed="false">
      <c r="A129" s="2" t="n">
        <v>127</v>
      </c>
      <c r="B129" s="2" t="s">
        <v>133</v>
      </c>
      <c r="C129" s="2" t="n">
        <v>92.217</v>
      </c>
      <c r="D129" s="2" t="n">
        <f aca="false">100*LN(C129)</f>
        <v>452.414449534506</v>
      </c>
      <c r="E129" s="2" t="n">
        <f aca="false">E$2*COS((PI()*E$1*$A129)/6)</f>
        <v>0.139421429755256</v>
      </c>
      <c r="F129" s="2" t="n">
        <f aca="false">F$2*SIN((PI()*F$1*$A129)/6)</f>
        <v>0.0831380000000006</v>
      </c>
      <c r="G129" s="1" t="n">
        <f aca="false">G$2*COS((PI()*G$1*$A129)/6)</f>
        <v>0.144634499999998</v>
      </c>
      <c r="H129" s="1" t="n">
        <f aca="false">H$2*SIN((PI()*H$1*$A129)/6)</f>
        <v>-0.499983312392276</v>
      </c>
      <c r="I129" s="1" t="n">
        <f aca="false">I$2*COS((PI()*I$1*$A129)/6)</f>
        <v>-2.6578952163647E-015</v>
      </c>
      <c r="J129" s="1" t="n">
        <f aca="false">J$2*SIN((PI()*J$1*$A129)/6)</f>
        <v>0.033221</v>
      </c>
      <c r="K129" s="1" t="n">
        <f aca="false">K$2*COS((PI()*K$1*$A129)/6)</f>
        <v>-0.0292830000000008</v>
      </c>
      <c r="L129" s="1" t="n">
        <f aca="false">L$2*SIN((PI()*L$1*$A129)/6)</f>
        <v>-0.0149874356378934</v>
      </c>
      <c r="M129" s="1" t="n">
        <f aca="false">M$2*COS((PI()*M$1*$A129)/6)</f>
        <v>-0.00229496732002873</v>
      </c>
      <c r="N129" s="1" t="n">
        <f aca="false">N$2*SIN((PI()*N$1*$A129)/6)</f>
        <v>-0.00579200000000023</v>
      </c>
      <c r="O129" s="2" t="n">
        <f aca="false">O$2*(-1)^(A129)</f>
        <v>-0.114941</v>
      </c>
      <c r="P129" s="2" t="n">
        <f aca="false">100*LN(C129)</f>
        <v>452.414449534506</v>
      </c>
      <c r="Q129" s="2" t="n">
        <f aca="false">SUM(E129:O129)</f>
        <v>-0.266866785594947</v>
      </c>
      <c r="R129" s="2" t="n">
        <f aca="false">P129-Q129</f>
        <v>452.681316320101</v>
      </c>
      <c r="S129" s="1" t="n">
        <f aca="false">EXP(R129/100)</f>
        <v>92.4634252109428</v>
      </c>
      <c r="T129" s="2"/>
      <c r="U129" s="2"/>
      <c r="V129" s="4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L129" s="2"/>
      <c r="AM129" s="5"/>
      <c r="AN129" s="2"/>
      <c r="AO129" s="2"/>
      <c r="AP129" s="2"/>
      <c r="AR129" s="2"/>
      <c r="AS129" s="2"/>
      <c r="AT129" s="2"/>
      <c r="AU129" s="2"/>
      <c r="AW129" s="2"/>
      <c r="AX129" s="2"/>
      <c r="AY129" s="2"/>
      <c r="AZ129" s="2"/>
      <c r="BB129" s="2"/>
      <c r="BC129" s="2"/>
      <c r="BD129" s="2"/>
      <c r="BE129" s="2"/>
    </row>
    <row r="130" customFormat="false" ht="12.8" hidden="false" customHeight="false" outlineLevel="0" collapsed="false">
      <c r="A130" s="2" t="n">
        <v>128</v>
      </c>
      <c r="B130" s="2" t="s">
        <v>134</v>
      </c>
      <c r="C130" s="2" t="n">
        <v>92.736</v>
      </c>
      <c r="D130" s="2" t="n">
        <f aca="false">100*LN(C130)</f>
        <v>452.975674669822</v>
      </c>
      <c r="E130" s="2" t="n">
        <f aca="false">E$2*COS((PI()*E$1*$A130)/6)</f>
        <v>0.080495000000001</v>
      </c>
      <c r="F130" s="2" t="n">
        <f aca="false">F$2*SIN((PI()*F$1*$A130)/6)</f>
        <v>0.143999240039661</v>
      </c>
      <c r="G130" s="1" t="n">
        <f aca="false">G$2*COS((PI()*G$1*$A130)/6)</f>
        <v>-0.144634499999996</v>
      </c>
      <c r="H130" s="1" t="n">
        <f aca="false">H$2*SIN((PI()*H$1*$A130)/6)</f>
        <v>-0.499983312392278</v>
      </c>
      <c r="I130" s="1" t="n">
        <f aca="false">I$2*COS((PI()*I$1*$A130)/6)</f>
        <v>0.086102</v>
      </c>
      <c r="J130" s="1" t="n">
        <f aca="false">J$2*SIN((PI()*J$1*$A130)/6)</f>
        <v>2.60377544412635E-016</v>
      </c>
      <c r="K130" s="1" t="n">
        <f aca="false">K$2*COS((PI()*K$1*$A130)/6)</f>
        <v>-0.0292830000000015</v>
      </c>
      <c r="L130" s="1" t="n">
        <f aca="false">L$2*SIN((PI()*L$1*$A130)/6)</f>
        <v>0.0149874356378932</v>
      </c>
      <c r="M130" s="1" t="n">
        <f aca="false">M$2*COS((PI()*M$1*$A130)/6)</f>
        <v>0.00132500000000001</v>
      </c>
      <c r="N130" s="1" t="n">
        <f aca="false">N$2*SIN((PI()*N$1*$A130)/6)</f>
        <v>0.0100320382774389</v>
      </c>
      <c r="O130" s="2" t="n">
        <f aca="false">O$2*(-1)^(A130)</f>
        <v>0.114941</v>
      </c>
      <c r="P130" s="2" t="n">
        <f aca="false">100*LN(C130)</f>
        <v>452.975674669822</v>
      </c>
      <c r="Q130" s="2" t="n">
        <f aca="false">SUM(E130:O130)</f>
        <v>-0.222019098437282</v>
      </c>
      <c r="R130" s="2" t="n">
        <f aca="false">P130-Q130</f>
        <v>453.197693768259</v>
      </c>
      <c r="S130" s="1" t="n">
        <f aca="false">EXP(R130/100)</f>
        <v>92.9421203597408</v>
      </c>
      <c r="T130" s="2"/>
      <c r="U130" s="2"/>
      <c r="V130" s="4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L130" s="2"/>
      <c r="AM130" s="5"/>
      <c r="AN130" s="2"/>
      <c r="AO130" s="2"/>
      <c r="AP130" s="2"/>
      <c r="AR130" s="2"/>
      <c r="AS130" s="2"/>
      <c r="AT130" s="2"/>
      <c r="AU130" s="2"/>
      <c r="AW130" s="2"/>
      <c r="AX130" s="2"/>
      <c r="AY130" s="2"/>
      <c r="AZ130" s="2"/>
      <c r="BB130" s="2"/>
      <c r="BC130" s="2"/>
      <c r="BD130" s="2"/>
      <c r="BE130" s="2"/>
    </row>
    <row r="131" customFormat="false" ht="12.8" hidden="false" customHeight="false" outlineLevel="0" collapsed="false">
      <c r="A131" s="2" t="n">
        <v>129</v>
      </c>
      <c r="B131" s="2" t="s">
        <v>135</v>
      </c>
      <c r="C131" s="2" t="n">
        <v>93.649</v>
      </c>
      <c r="D131" s="2" t="n">
        <f aca="false">100*LN(C131)</f>
        <v>453.955375077649</v>
      </c>
      <c r="E131" s="2" t="n">
        <f aca="false">E$2*COS((PI()*E$1*$A131)/6)</f>
        <v>7.09860847193721E-016</v>
      </c>
      <c r="F131" s="2" t="n">
        <f aca="false">F$2*SIN((PI()*F$1*$A131)/6)</f>
        <v>0.166276</v>
      </c>
      <c r="G131" s="1" t="n">
        <f aca="false">G$2*COS((PI()*G$1*$A131)/6)</f>
        <v>-0.289269</v>
      </c>
      <c r="H131" s="1" t="n">
        <f aca="false">H$2*SIN((PI()*H$1*$A131)/6)</f>
        <v>-5.0913059540493E-015</v>
      </c>
      <c r="I131" s="1" t="n">
        <f aca="false">I$2*COS((PI()*I$1*$A131)/6)</f>
        <v>-1.30820512100233E-015</v>
      </c>
      <c r="J131" s="1" t="n">
        <f aca="false">J$2*SIN((PI()*J$1*$A131)/6)</f>
        <v>-0.033221</v>
      </c>
      <c r="K131" s="1" t="n">
        <f aca="false">K$2*COS((PI()*K$1*$A131)/6)</f>
        <v>0.058566</v>
      </c>
      <c r="L131" s="1" t="n">
        <f aca="false">L$2*SIN((PI()*L$1*$A131)/6)</f>
        <v>3.05232668402622E-016</v>
      </c>
      <c r="M131" s="1" t="n">
        <f aca="false">M$2*COS((PI()*M$1*$A131)/6)</f>
        <v>5.84238538127635E-017</v>
      </c>
      <c r="N131" s="1" t="n">
        <f aca="false">N$2*SIN((PI()*N$1*$A131)/6)</f>
        <v>-0.011584</v>
      </c>
      <c r="O131" s="2" t="n">
        <f aca="false">O$2*(-1)^(A131)</f>
        <v>-0.114941</v>
      </c>
      <c r="P131" s="2" t="n">
        <f aca="false">100*LN(C131)</f>
        <v>453.955375077649</v>
      </c>
      <c r="Q131" s="2" t="n">
        <f aca="false">SUM(E131:O131)</f>
        <v>-0.224173000000005</v>
      </c>
      <c r="R131" s="2" t="n">
        <f aca="false">P131-Q131</f>
        <v>454.179548077649</v>
      </c>
      <c r="S131" s="1" t="n">
        <f aca="false">EXP(R131/100)</f>
        <v>93.8591712583621</v>
      </c>
      <c r="T131" s="2"/>
      <c r="U131" s="2"/>
      <c r="V131" s="4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L131" s="2"/>
      <c r="AM131" s="5"/>
      <c r="AN131" s="2"/>
      <c r="AO131" s="2"/>
      <c r="AP131" s="2"/>
      <c r="AR131" s="2"/>
      <c r="AS131" s="2"/>
      <c r="AT131" s="2"/>
      <c r="AU131" s="2"/>
      <c r="AW131" s="2"/>
      <c r="AX131" s="2"/>
      <c r="AY131" s="2"/>
      <c r="AZ131" s="2"/>
      <c r="BB131" s="2"/>
      <c r="BC131" s="2"/>
      <c r="BD131" s="2"/>
      <c r="BE131" s="2"/>
    </row>
    <row r="132" customFormat="false" ht="12.8" hidden="false" customHeight="false" outlineLevel="0" collapsed="false">
      <c r="A132" s="2" t="n">
        <v>130</v>
      </c>
      <c r="B132" s="2" t="s">
        <v>136</v>
      </c>
      <c r="C132" s="2" t="n">
        <v>94.445</v>
      </c>
      <c r="D132" s="2" t="n">
        <f aca="false">100*LN(C132)</f>
        <v>454.801765448378</v>
      </c>
      <c r="E132" s="2" t="n">
        <f aca="false">E$2*COS((PI()*E$1*$A132)/6)</f>
        <v>-0.0804949999999998</v>
      </c>
      <c r="F132" s="2" t="n">
        <f aca="false">F$2*SIN((PI()*F$1*$A132)/6)</f>
        <v>0.143999240039661</v>
      </c>
      <c r="G132" s="1" t="n">
        <f aca="false">G$2*COS((PI()*G$1*$A132)/6)</f>
        <v>-0.144634500000001</v>
      </c>
      <c r="H132" s="1" t="n">
        <f aca="false">H$2*SIN((PI()*H$1*$A132)/6)</f>
        <v>0.499983312392273</v>
      </c>
      <c r="I132" s="1" t="n">
        <f aca="false">I$2*COS((PI()*I$1*$A132)/6)</f>
        <v>-0.086102</v>
      </c>
      <c r="J132" s="1" t="n">
        <f aca="false">J$2*SIN((PI()*J$1*$A132)/6)</f>
        <v>-6.18520046914377E-016</v>
      </c>
      <c r="K132" s="1" t="n">
        <f aca="false">K$2*COS((PI()*K$1*$A132)/6)</f>
        <v>-0.0292829999999997</v>
      </c>
      <c r="L132" s="1" t="n">
        <f aca="false">L$2*SIN((PI()*L$1*$A132)/6)</f>
        <v>-0.0149874356378935</v>
      </c>
      <c r="M132" s="1" t="n">
        <f aca="false">M$2*COS((PI()*M$1*$A132)/6)</f>
        <v>-0.00132500000000011</v>
      </c>
      <c r="N132" s="1" t="n">
        <f aca="false">N$2*SIN((PI()*N$1*$A132)/6)</f>
        <v>0.0100320382774386</v>
      </c>
      <c r="O132" s="2" t="n">
        <f aca="false">O$2*(-1)^(A132)</f>
        <v>0.114941</v>
      </c>
      <c r="P132" s="2" t="n">
        <f aca="false">100*LN(C132)</f>
        <v>454.801765448378</v>
      </c>
      <c r="Q132" s="2" t="n">
        <f aca="false">SUM(E132:O132)</f>
        <v>0.412128655071479</v>
      </c>
      <c r="R132" s="2" t="n">
        <f aca="false">P132-Q132</f>
        <v>454.389636793307</v>
      </c>
      <c r="S132" s="1" t="n">
        <f aca="false">EXP(R132/100)</f>
        <v>94.056566065289</v>
      </c>
      <c r="T132" s="2"/>
      <c r="U132" s="2"/>
      <c r="V132" s="4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L132" s="2"/>
      <c r="AM132" s="5"/>
      <c r="AN132" s="2"/>
      <c r="AO132" s="2"/>
      <c r="AP132" s="2"/>
      <c r="AR132" s="2"/>
      <c r="AS132" s="2"/>
      <c r="AT132" s="2"/>
      <c r="AU132" s="2"/>
      <c r="AW132" s="2"/>
      <c r="AX132" s="2"/>
      <c r="AY132" s="2"/>
      <c r="AZ132" s="2"/>
      <c r="BB132" s="2"/>
      <c r="BC132" s="2"/>
      <c r="BD132" s="2"/>
      <c r="BE132" s="2"/>
    </row>
    <row r="133" customFormat="false" ht="12.8" hidden="false" customHeight="false" outlineLevel="0" collapsed="false">
      <c r="A133" s="2" t="n">
        <v>131</v>
      </c>
      <c r="B133" s="2" t="s">
        <v>137</v>
      </c>
      <c r="C133" s="2" t="n">
        <v>94.328</v>
      </c>
      <c r="D133" s="2" t="n">
        <f aca="false">100*LN(C133)</f>
        <v>454.677807027437</v>
      </c>
      <c r="E133" s="2" t="n">
        <f aca="false">E$2*COS((PI()*E$1*$A133)/6)</f>
        <v>-0.139421429755257</v>
      </c>
      <c r="F133" s="2" t="n">
        <f aca="false">F$2*SIN((PI()*F$1*$A133)/6)</f>
        <v>0.0831379999999998</v>
      </c>
      <c r="G133" s="1" t="n">
        <f aca="false">G$2*COS((PI()*G$1*$A133)/6)</f>
        <v>0.144634500000001</v>
      </c>
      <c r="H133" s="1" t="n">
        <f aca="false">H$2*SIN((PI()*H$1*$A133)/6)</f>
        <v>0.499983312392273</v>
      </c>
      <c r="I133" s="1" t="n">
        <f aca="false">I$2*COS((PI()*I$1*$A133)/6)</f>
        <v>3.79973407616068E-016</v>
      </c>
      <c r="J133" s="1" t="n">
        <f aca="false">J$2*SIN((PI()*J$1*$A133)/6)</f>
        <v>0.033221</v>
      </c>
      <c r="K133" s="1" t="n">
        <f aca="false">K$2*COS((PI()*K$1*$A133)/6)</f>
        <v>-0.0292829999999997</v>
      </c>
      <c r="L133" s="1" t="n">
        <f aca="false">L$2*SIN((PI()*L$1*$A133)/6)</f>
        <v>0.0149874356378935</v>
      </c>
      <c r="M133" s="1" t="n">
        <f aca="false">M$2*COS((PI()*M$1*$A133)/6)</f>
        <v>0.00229496732002879</v>
      </c>
      <c r="N133" s="1" t="n">
        <f aca="false">N$2*SIN((PI()*N$1*$A133)/6)</f>
        <v>-0.00579199999999979</v>
      </c>
      <c r="O133" s="2" t="n">
        <f aca="false">O$2*(-1)^(A133)</f>
        <v>-0.114941</v>
      </c>
      <c r="P133" s="2" t="n">
        <f aca="false">100*LN(C133)</f>
        <v>454.677807027437</v>
      </c>
      <c r="Q133" s="2" t="n">
        <f aca="false">SUM(E133:O133)</f>
        <v>0.48882178559494</v>
      </c>
      <c r="R133" s="2" t="n">
        <f aca="false">P133-Q133</f>
        <v>454.188985241842</v>
      </c>
      <c r="S133" s="1" t="n">
        <f aca="false">EXP(R133/100)</f>
        <v>93.8680293204322</v>
      </c>
      <c r="T133" s="2"/>
      <c r="U133" s="2"/>
      <c r="V133" s="4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L133" s="2"/>
      <c r="AM133" s="5"/>
      <c r="AN133" s="2"/>
      <c r="AO133" s="2"/>
      <c r="AP133" s="2"/>
      <c r="AR133" s="2"/>
      <c r="AS133" s="2"/>
      <c r="AT133" s="2"/>
      <c r="AU133" s="2"/>
      <c r="AW133" s="2"/>
      <c r="AX133" s="2"/>
      <c r="AY133" s="2"/>
      <c r="AZ133" s="2"/>
      <c r="BB133" s="2"/>
      <c r="BC133" s="2"/>
      <c r="BD133" s="2"/>
      <c r="BE133" s="2"/>
    </row>
    <row r="134" customFormat="false" ht="12.8" hidden="false" customHeight="false" outlineLevel="0" collapsed="false">
      <c r="A134" s="2" t="n">
        <v>132</v>
      </c>
      <c r="B134" s="2" t="s">
        <v>138</v>
      </c>
      <c r="C134" s="2" t="n">
        <v>94.394</v>
      </c>
      <c r="D134" s="2" t="n">
        <f aca="false">100*LN(C134)</f>
        <v>454.747751180944</v>
      </c>
      <c r="E134" s="2" t="n">
        <f aca="false">E$2*COS((PI()*E$1*$A134)/6)</f>
        <v>-0.16099</v>
      </c>
      <c r="F134" s="2" t="n">
        <f aca="false">F$2*SIN((PI()*F$1*$A134)/6)</f>
        <v>-7.33477422727409E-016</v>
      </c>
      <c r="G134" s="1" t="n">
        <f aca="false">G$2*COS((PI()*G$1*$A134)/6)</f>
        <v>0.289269</v>
      </c>
      <c r="H134" s="1" t="n">
        <f aca="false">H$2*SIN((PI()*H$1*$A134)/6)</f>
        <v>-5.09345009430871E-015</v>
      </c>
      <c r="I134" s="1" t="n">
        <f aca="false">I$2*COS((PI()*I$1*$A134)/6)</f>
        <v>0.086102</v>
      </c>
      <c r="J134" s="1" t="n">
        <f aca="false">J$2*SIN((PI()*J$1*$A134)/6)</f>
        <v>3.2464940428667E-017</v>
      </c>
      <c r="K134" s="1" t="n">
        <f aca="false">K$2*COS((PI()*K$1*$A134)/6)</f>
        <v>0.058566</v>
      </c>
      <c r="L134" s="1" t="n">
        <f aca="false">L$2*SIN((PI()*L$1*$A134)/6)</f>
        <v>-3.05361213349384E-016</v>
      </c>
      <c r="M134" s="1" t="n">
        <f aca="false">M$2*COS((PI()*M$1*$A134)/6)</f>
        <v>-0.00265</v>
      </c>
      <c r="N134" s="1" t="n">
        <f aca="false">N$2*SIN((PI()*N$1*$A134)/6)</f>
        <v>-5.67595746286802E-016</v>
      </c>
      <c r="O134" s="2" t="n">
        <f aca="false">O$2*(-1)^(A134)</f>
        <v>0.114941</v>
      </c>
      <c r="P134" s="2" t="n">
        <f aca="false">100*LN(C134)</f>
        <v>454.747751180944</v>
      </c>
      <c r="Q134" s="2" t="n">
        <f aca="false">SUM(E134:O134)</f>
        <v>0.385237999999993</v>
      </c>
      <c r="R134" s="2" t="n">
        <f aca="false">P134-Q134</f>
        <v>454.362513180944</v>
      </c>
      <c r="S134" s="1" t="n">
        <f aca="false">EXP(R134/100)</f>
        <v>94.0310579864205</v>
      </c>
      <c r="T134" s="2"/>
      <c r="U134" s="2"/>
      <c r="V134" s="4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L134" s="2"/>
      <c r="AM134" s="5"/>
      <c r="AN134" s="2"/>
      <c r="AO134" s="2"/>
      <c r="AP134" s="2"/>
      <c r="AR134" s="2"/>
      <c r="AS134" s="2"/>
      <c r="AT134" s="2"/>
      <c r="AU134" s="2"/>
      <c r="AW134" s="2"/>
      <c r="AX134" s="2"/>
      <c r="AY134" s="2"/>
      <c r="AZ134" s="2"/>
      <c r="BB134" s="2"/>
      <c r="BC134" s="2"/>
      <c r="BD134" s="2"/>
      <c r="BE134" s="2"/>
    </row>
    <row r="135" customFormat="false" ht="12.8" hidden="false" customHeight="false" outlineLevel="0" collapsed="false">
      <c r="A135" s="2" t="n">
        <v>133</v>
      </c>
      <c r="B135" s="2" t="s">
        <v>139</v>
      </c>
      <c r="C135" s="2" t="n">
        <v>93.188</v>
      </c>
      <c r="D135" s="2" t="n">
        <f aca="false">100*LN(C135)</f>
        <v>453.461895803706</v>
      </c>
      <c r="E135" s="2" t="n">
        <f aca="false">E$2*COS((PI()*E$1*$A135)/6)</f>
        <v>-0.139421429755257</v>
      </c>
      <c r="F135" s="2" t="n">
        <f aca="false">F$2*SIN((PI()*F$1*$A135)/6)</f>
        <v>-0.083137999999999</v>
      </c>
      <c r="G135" s="1" t="n">
        <f aca="false">G$2*COS((PI()*G$1*$A135)/6)</f>
        <v>0.144634500000003</v>
      </c>
      <c r="H135" s="1" t="n">
        <f aca="false">H$2*SIN((PI()*H$1*$A135)/6)</f>
        <v>-0.49998331239227</v>
      </c>
      <c r="I135" s="1" t="n">
        <f aca="false">I$2*COS((PI()*I$1*$A135)/6)</f>
        <v>5.48258305770193E-016</v>
      </c>
      <c r="J135" s="1" t="n">
        <f aca="false">J$2*SIN((PI()*J$1*$A135)/6)</f>
        <v>-0.033221</v>
      </c>
      <c r="K135" s="1" t="n">
        <f aca="false">K$2*COS((PI()*K$1*$A135)/6)</f>
        <v>-0.0292829999999986</v>
      </c>
      <c r="L135" s="1" t="n">
        <f aca="false">L$2*SIN((PI()*L$1*$A135)/6)</f>
        <v>-0.0149874356378937</v>
      </c>
      <c r="M135" s="1" t="n">
        <f aca="false">M$2*COS((PI()*M$1*$A135)/6)</f>
        <v>0.00229496732002874</v>
      </c>
      <c r="N135" s="1" t="n">
        <f aca="false">N$2*SIN((PI()*N$1*$A135)/6)</f>
        <v>0.0057920000000002</v>
      </c>
      <c r="O135" s="2" t="n">
        <f aca="false">O$2*(-1)^(A135)</f>
        <v>-0.114941</v>
      </c>
      <c r="P135" s="2" t="n">
        <f aca="false">100*LN(C135)</f>
        <v>453.461895803706</v>
      </c>
      <c r="Q135" s="2" t="n">
        <f aca="false">SUM(E135:O135)</f>
        <v>-0.762253710465386</v>
      </c>
      <c r="R135" s="2" t="n">
        <f aca="false">P135-Q135</f>
        <v>454.224149514171</v>
      </c>
      <c r="S135" s="1" t="n">
        <f aca="false">EXP(R135/100)</f>
        <v>93.9010431340855</v>
      </c>
      <c r="T135" s="2"/>
      <c r="U135" s="2"/>
      <c r="V135" s="4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L135" s="2"/>
      <c r="AM135" s="5"/>
      <c r="AN135" s="2"/>
      <c r="AO135" s="2"/>
      <c r="AP135" s="2"/>
      <c r="AR135" s="2"/>
      <c r="AS135" s="2"/>
      <c r="AT135" s="2"/>
      <c r="AU135" s="2"/>
      <c r="AW135" s="2"/>
      <c r="AX135" s="2"/>
      <c r="AY135" s="2"/>
      <c r="AZ135" s="2"/>
      <c r="BB135" s="2"/>
      <c r="BC135" s="2"/>
      <c r="BD135" s="2"/>
      <c r="BE135" s="2"/>
    </row>
    <row r="136" customFormat="false" ht="12.8" hidden="false" customHeight="false" outlineLevel="0" collapsed="false">
      <c r="A136" s="2" t="n">
        <v>134</v>
      </c>
      <c r="B136" s="2" t="s">
        <v>140</v>
      </c>
      <c r="C136" s="2" t="n">
        <v>93.349</v>
      </c>
      <c r="D136" s="2" t="n">
        <f aca="false">100*LN(C136)</f>
        <v>453.634515755756</v>
      </c>
      <c r="E136" s="2" t="n">
        <f aca="false">E$2*COS((PI()*E$1*$A136)/6)</f>
        <v>-0.0804950000000006</v>
      </c>
      <c r="F136" s="2" t="n">
        <f aca="false">F$2*SIN((PI()*F$1*$A136)/6)</f>
        <v>-0.143999240039661</v>
      </c>
      <c r="G136" s="1" t="n">
        <f aca="false">G$2*COS((PI()*G$1*$A136)/6)</f>
        <v>-0.144634499999998</v>
      </c>
      <c r="H136" s="1" t="n">
        <f aca="false">H$2*SIN((PI()*H$1*$A136)/6)</f>
        <v>-0.499983312392276</v>
      </c>
      <c r="I136" s="1" t="n">
        <f aca="false">I$2*COS((PI()*I$1*$A136)/6)</f>
        <v>-0.086102</v>
      </c>
      <c r="J136" s="1" t="n">
        <f aca="false">J$2*SIN((PI()*J$1*$A136)/6)</f>
        <v>-3.90607442930409E-016</v>
      </c>
      <c r="K136" s="1" t="n">
        <f aca="false">K$2*COS((PI()*K$1*$A136)/6)</f>
        <v>-0.0292830000000008</v>
      </c>
      <c r="L136" s="1" t="n">
        <f aca="false">L$2*SIN((PI()*L$1*$A136)/6)</f>
        <v>0.0149874356378934</v>
      </c>
      <c r="M136" s="1" t="n">
        <f aca="false">M$2*COS((PI()*M$1*$A136)/6)</f>
        <v>-0.00132499999999989</v>
      </c>
      <c r="N136" s="1" t="n">
        <f aca="false">N$2*SIN((PI()*N$1*$A136)/6)</f>
        <v>-0.0100320382774392</v>
      </c>
      <c r="O136" s="2" t="n">
        <f aca="false">O$2*(-1)^(A136)</f>
        <v>0.114941</v>
      </c>
      <c r="P136" s="2" t="n">
        <f aca="false">100*LN(C136)</f>
        <v>453.634515755756</v>
      </c>
      <c r="Q136" s="2" t="n">
        <f aca="false">SUM(E136:O136)</f>
        <v>-0.865925655071483</v>
      </c>
      <c r="R136" s="2" t="n">
        <f aca="false">P136-Q136</f>
        <v>454.500441410828</v>
      </c>
      <c r="S136" s="1" t="n">
        <f aca="false">EXP(R136/100)</f>
        <v>94.1608428446453</v>
      </c>
      <c r="T136" s="2"/>
      <c r="U136" s="2"/>
      <c r="V136" s="4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L136" s="2"/>
      <c r="AM136" s="5"/>
      <c r="AN136" s="2"/>
      <c r="AO136" s="2"/>
      <c r="AP136" s="2"/>
      <c r="AR136" s="2"/>
      <c r="AS136" s="2"/>
      <c r="AT136" s="2"/>
      <c r="AU136" s="2"/>
      <c r="AW136" s="2"/>
      <c r="AX136" s="2"/>
      <c r="AY136" s="2"/>
      <c r="AZ136" s="2"/>
      <c r="BB136" s="2"/>
      <c r="BC136" s="2"/>
      <c r="BD136" s="2"/>
      <c r="BE136" s="2"/>
    </row>
    <row r="137" customFormat="false" ht="12.8" hidden="false" customHeight="false" outlineLevel="0" collapsed="false">
      <c r="A137" s="2" t="n">
        <v>135</v>
      </c>
      <c r="B137" s="2" t="s">
        <v>141</v>
      </c>
      <c r="C137" s="2" t="n">
        <v>93.678</v>
      </c>
      <c r="D137" s="2" t="n">
        <f aca="false">100*LN(C137)</f>
        <v>453.986336978744</v>
      </c>
      <c r="E137" s="2" t="n">
        <f aca="false">E$2*COS((PI()*E$1*$A137)/6)</f>
        <v>-1.57625060863102E-016</v>
      </c>
      <c r="F137" s="2" t="n">
        <f aca="false">F$2*SIN((PI()*F$1*$A137)/6)</f>
        <v>-0.166276</v>
      </c>
      <c r="G137" s="1" t="n">
        <f aca="false">G$2*COS((PI()*G$1*$A137)/6)</f>
        <v>-0.289269</v>
      </c>
      <c r="H137" s="1" t="n">
        <f aca="false">H$2*SIN((PI()*H$1*$A137)/6)</f>
        <v>-1.13052778449786E-015</v>
      </c>
      <c r="I137" s="1" t="n">
        <f aca="false">I$2*COS((PI()*I$1*$A137)/6)</f>
        <v>-1.47649001915645E-015</v>
      </c>
      <c r="J137" s="1" t="n">
        <f aca="false">J$2*SIN((PI()*J$1*$A137)/6)</f>
        <v>0.033221</v>
      </c>
      <c r="K137" s="1" t="n">
        <f aca="false">K$2*COS((PI()*K$1*$A137)/6)</f>
        <v>0.058566</v>
      </c>
      <c r="L137" s="1" t="n">
        <f aca="false">L$2*SIN((PI()*L$1*$A137)/6)</f>
        <v>6.77771117037539E-017</v>
      </c>
      <c r="M137" s="1" t="n">
        <f aca="false">M$2*COS((PI()*M$1*$A137)/6)</f>
        <v>1.00003240408329E-016</v>
      </c>
      <c r="N137" s="1" t="n">
        <f aca="false">N$2*SIN((PI()*N$1*$A137)/6)</f>
        <v>0.011584</v>
      </c>
      <c r="O137" s="2" t="n">
        <f aca="false">O$2*(-1)^(A137)</f>
        <v>-0.114941</v>
      </c>
      <c r="P137" s="2" t="n">
        <f aca="false">100*LN(C137)</f>
        <v>453.986336978744</v>
      </c>
      <c r="Q137" s="2" t="n">
        <f aca="false">SUM(E137:O137)</f>
        <v>-0.467115000000003</v>
      </c>
      <c r="R137" s="2" t="n">
        <f aca="false">P137-Q137</f>
        <v>454.453451978744</v>
      </c>
      <c r="S137" s="1" t="n">
        <f aca="false">EXP(R137/100)</f>
        <v>94.1166075931079</v>
      </c>
      <c r="T137" s="2"/>
      <c r="U137" s="2"/>
      <c r="V137" s="4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L137" s="2"/>
      <c r="AM137" s="5"/>
      <c r="AN137" s="2"/>
      <c r="AO137" s="2"/>
      <c r="AP137" s="2"/>
      <c r="AR137" s="2"/>
      <c r="AS137" s="2"/>
      <c r="AT137" s="2"/>
      <c r="AU137" s="2"/>
      <c r="AW137" s="2"/>
      <c r="AX137" s="2"/>
      <c r="AY137" s="2"/>
      <c r="AZ137" s="2"/>
      <c r="BB137" s="2"/>
      <c r="BC137" s="2"/>
      <c r="BD137" s="2"/>
      <c r="BE137" s="2"/>
    </row>
    <row r="138" customFormat="false" ht="12.8" hidden="false" customHeight="false" outlineLevel="0" collapsed="false">
      <c r="A138" s="2" t="n">
        <v>136</v>
      </c>
      <c r="B138" s="2" t="s">
        <v>142</v>
      </c>
      <c r="C138" s="2" t="n">
        <v>94.028</v>
      </c>
      <c r="D138" s="2" t="n">
        <f aca="false">100*LN(C138)</f>
        <v>454.359261025527</v>
      </c>
      <c r="E138" s="2" t="n">
        <f aca="false">E$2*COS((PI()*E$1*$A138)/6)</f>
        <v>0.0804950000000003</v>
      </c>
      <c r="F138" s="2" t="n">
        <f aca="false">F$2*SIN((PI()*F$1*$A138)/6)</f>
        <v>-0.143999240039661</v>
      </c>
      <c r="G138" s="1" t="n">
        <f aca="false">G$2*COS((PI()*G$1*$A138)/6)</f>
        <v>-0.144634499999999</v>
      </c>
      <c r="H138" s="1" t="n">
        <f aca="false">H$2*SIN((PI()*H$1*$A138)/6)</f>
        <v>0.499983312392275</v>
      </c>
      <c r="I138" s="1" t="n">
        <f aca="false">I$2*COS((PI()*I$1*$A138)/6)</f>
        <v>0.086102</v>
      </c>
      <c r="J138" s="1" t="n">
        <f aca="false">J$2*SIN((PI()*J$1*$A138)/6)</f>
        <v>7.48749945432151E-016</v>
      </c>
      <c r="K138" s="1" t="n">
        <f aca="false">K$2*COS((PI()*K$1*$A138)/6)</f>
        <v>-0.0292830000000004</v>
      </c>
      <c r="L138" s="1" t="n">
        <f aca="false">L$2*SIN((PI()*L$1*$A138)/6)</f>
        <v>-0.0149874356378934</v>
      </c>
      <c r="M138" s="1" t="n">
        <f aca="false">M$2*COS((PI()*M$1*$A138)/6)</f>
        <v>0.00132499999999998</v>
      </c>
      <c r="N138" s="1" t="n">
        <f aca="false">N$2*SIN((PI()*N$1*$A138)/6)</f>
        <v>-0.010032038277439</v>
      </c>
      <c r="O138" s="2" t="n">
        <f aca="false">O$2*(-1)^(A138)</f>
        <v>0.114941</v>
      </c>
      <c r="P138" s="2" t="n">
        <f aca="false">100*LN(C138)</f>
        <v>454.359261025527</v>
      </c>
      <c r="Q138" s="2" t="n">
        <f aca="false">SUM(E138:O138)</f>
        <v>0.439910098437283</v>
      </c>
      <c r="R138" s="2" t="n">
        <f aca="false">P138-Q138</f>
        <v>453.91935092709</v>
      </c>
      <c r="S138" s="1" t="n">
        <f aca="false">EXP(R138/100)</f>
        <v>93.6152698191129</v>
      </c>
      <c r="T138" s="2"/>
      <c r="U138" s="2"/>
      <c r="V138" s="4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L138" s="2"/>
      <c r="AM138" s="5"/>
      <c r="AN138" s="2"/>
      <c r="AO138" s="2"/>
      <c r="AP138" s="2"/>
      <c r="AR138" s="2"/>
      <c r="AS138" s="2"/>
      <c r="AT138" s="2"/>
      <c r="AU138" s="2"/>
      <c r="AW138" s="2"/>
      <c r="AX138" s="2"/>
      <c r="AY138" s="2"/>
      <c r="AZ138" s="2"/>
      <c r="BB138" s="2"/>
      <c r="BC138" s="2"/>
      <c r="BD138" s="2"/>
      <c r="BE138" s="2"/>
    </row>
    <row r="139" customFormat="false" ht="12.8" hidden="false" customHeight="false" outlineLevel="0" collapsed="false">
      <c r="A139" s="2" t="n">
        <v>137</v>
      </c>
      <c r="B139" s="2" t="s">
        <v>143</v>
      </c>
      <c r="C139" s="2" t="n">
        <v>94.201</v>
      </c>
      <c r="D139" s="2" t="n">
        <f aca="false">100*LN(C139)</f>
        <v>454.543079723722</v>
      </c>
      <c r="E139" s="2" t="n">
        <f aca="false">E$2*COS((PI()*E$1*$A139)/6)</f>
        <v>0.139421429755257</v>
      </c>
      <c r="F139" s="2" t="n">
        <f aca="false">F$2*SIN((PI()*F$1*$A139)/6)</f>
        <v>-0.0831379999999993</v>
      </c>
      <c r="G139" s="1" t="n">
        <f aca="false">G$2*COS((PI()*G$1*$A139)/6)</f>
        <v>0.144634500000002</v>
      </c>
      <c r="H139" s="1" t="n">
        <f aca="false">H$2*SIN((PI()*H$1*$A139)/6)</f>
        <v>0.499983312392271</v>
      </c>
      <c r="I139" s="1" t="n">
        <f aca="false">I$2*COS((PI()*I$1*$A139)/6)</f>
        <v>-4.24442928339318E-017</v>
      </c>
      <c r="J139" s="1" t="n">
        <f aca="false">J$2*SIN((PI()*J$1*$A139)/6)</f>
        <v>-0.033221</v>
      </c>
      <c r="K139" s="1" t="n">
        <f aca="false">K$2*COS((PI()*K$1*$A139)/6)</f>
        <v>-0.029282999999999</v>
      </c>
      <c r="L139" s="1" t="n">
        <f aca="false">L$2*SIN((PI()*L$1*$A139)/6)</f>
        <v>0.0149874356378937</v>
      </c>
      <c r="M139" s="1" t="n">
        <f aca="false">M$2*COS((PI()*M$1*$A139)/6)</f>
        <v>-0.00229496732002879</v>
      </c>
      <c r="N139" s="1" t="n">
        <f aca="false">N$2*SIN((PI()*N$1*$A139)/6)</f>
        <v>0.00579199999999982</v>
      </c>
      <c r="O139" s="2" t="n">
        <f aca="false">O$2*(-1)^(A139)</f>
        <v>-0.114941</v>
      </c>
      <c r="P139" s="2" t="n">
        <f aca="false">100*LN(C139)</f>
        <v>454.543079723722</v>
      </c>
      <c r="Q139" s="2" t="n">
        <f aca="false">SUM(E139:O139)</f>
        <v>0.541940710465397</v>
      </c>
      <c r="R139" s="2" t="n">
        <f aca="false">P139-Q139</f>
        <v>454.001139013257</v>
      </c>
      <c r="S139" s="1" t="n">
        <f aca="false">EXP(R139/100)</f>
        <v>93.6918672761854</v>
      </c>
      <c r="T139" s="2"/>
      <c r="U139" s="2"/>
      <c r="V139" s="4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L139" s="2"/>
      <c r="AM139" s="5"/>
      <c r="AN139" s="2"/>
      <c r="AO139" s="2"/>
      <c r="AP139" s="2"/>
      <c r="AR139" s="2"/>
      <c r="AS139" s="2"/>
      <c r="AT139" s="2"/>
      <c r="AU139" s="2"/>
      <c r="AW139" s="2"/>
      <c r="AX139" s="2"/>
      <c r="AY139" s="2"/>
      <c r="AZ139" s="2"/>
      <c r="BB139" s="2"/>
      <c r="BC139" s="2"/>
      <c r="BD139" s="2"/>
      <c r="BE139" s="2"/>
    </row>
    <row r="140" customFormat="false" ht="12.8" hidden="false" customHeight="false" outlineLevel="0" collapsed="false">
      <c r="A140" s="2" t="n">
        <v>138</v>
      </c>
      <c r="B140" s="2" t="s">
        <v>144</v>
      </c>
      <c r="C140" s="2" t="n">
        <v>94.34</v>
      </c>
      <c r="D140" s="2" t="n">
        <f aca="false">100*LN(C140)</f>
        <v>454.690527785612</v>
      </c>
      <c r="E140" s="2" t="n">
        <f aca="false">E$2*COS((PI()*E$1*$A140)/6)</f>
        <v>0.16099</v>
      </c>
      <c r="F140" s="2" t="n">
        <f aca="false">F$2*SIN((PI()*F$1*$A140)/6)</f>
        <v>-1.05907857335879E-015</v>
      </c>
      <c r="G140" s="1" t="n">
        <f aca="false">G$2*COS((PI()*G$1*$A140)/6)</f>
        <v>0.289269</v>
      </c>
      <c r="H140" s="1" t="n">
        <f aca="false">H$2*SIN((PI()*H$1*$A140)/6)</f>
        <v>7.35450566330443E-015</v>
      </c>
      <c r="I140" s="1" t="n">
        <f aca="false">I$2*COS((PI()*I$1*$A140)/6)</f>
        <v>-0.086102</v>
      </c>
      <c r="J140" s="1" t="n">
        <f aca="false">J$2*SIN((PI()*J$1*$A140)/6)</f>
        <v>-1.10689244793389E-015</v>
      </c>
      <c r="K140" s="1" t="n">
        <f aca="false">K$2*COS((PI()*K$1*$A140)/6)</f>
        <v>0.058566</v>
      </c>
      <c r="L140" s="1" t="n">
        <f aca="false">L$2*SIN((PI()*L$1*$A140)/6)</f>
        <v>4.40915436756892E-016</v>
      </c>
      <c r="M140" s="1" t="n">
        <f aca="false">M$2*COS((PI()*M$1*$A140)/6)</f>
        <v>0.00265</v>
      </c>
      <c r="N140" s="1" t="n">
        <f aca="false">N$2*SIN((PI()*N$1*$A140)/6)</f>
        <v>-1.24939898791361E-016</v>
      </c>
      <c r="O140" s="2" t="n">
        <f aca="false">O$2*(-1)^(A140)</f>
        <v>0.114941</v>
      </c>
      <c r="P140" s="2" t="n">
        <f aca="false">100*LN(C140)</f>
        <v>454.690527785612</v>
      </c>
      <c r="Q140" s="2" t="n">
        <f aca="false">SUM(E140:O140)</f>
        <v>0.540314000000006</v>
      </c>
      <c r="R140" s="2" t="n">
        <f aca="false">P140-Q140</f>
        <v>454.150213785612</v>
      </c>
      <c r="S140" s="1" t="n">
        <f aca="false">EXP(R140/100)</f>
        <v>93.8316423728602</v>
      </c>
      <c r="T140" s="2"/>
      <c r="U140" s="2"/>
      <c r="V140" s="4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L140" s="2"/>
      <c r="AM140" s="5"/>
      <c r="AN140" s="2"/>
      <c r="AO140" s="2"/>
      <c r="AP140" s="2"/>
      <c r="AR140" s="2"/>
      <c r="AS140" s="2"/>
      <c r="AT140" s="2"/>
      <c r="AU140" s="2"/>
      <c r="AW140" s="2"/>
      <c r="AX140" s="2"/>
      <c r="AY140" s="2"/>
      <c r="AZ140" s="2"/>
      <c r="BB140" s="2"/>
      <c r="BC140" s="2"/>
      <c r="BD140" s="2"/>
      <c r="BE140" s="2"/>
    </row>
    <row r="141" customFormat="false" ht="12.8" hidden="false" customHeight="false" outlineLevel="0" collapsed="false">
      <c r="A141" s="2" t="n">
        <v>139</v>
      </c>
      <c r="B141" s="2" t="s">
        <v>145</v>
      </c>
      <c r="C141" s="2" t="n">
        <v>93.853</v>
      </c>
      <c r="D141" s="2" t="n">
        <f aca="false">100*LN(C141)</f>
        <v>454.172972842466</v>
      </c>
      <c r="E141" s="2" t="n">
        <f aca="false">E$2*COS((PI()*E$1*$A141)/6)</f>
        <v>0.139421429755257</v>
      </c>
      <c r="F141" s="2" t="n">
        <f aca="false">F$2*SIN((PI()*F$1*$A141)/6)</f>
        <v>0.0831379999999995</v>
      </c>
      <c r="G141" s="1" t="n">
        <f aca="false">G$2*COS((PI()*G$1*$A141)/6)</f>
        <v>0.144634500000002</v>
      </c>
      <c r="H141" s="1" t="n">
        <f aca="false">H$2*SIN((PI()*H$1*$A141)/6)</f>
        <v>-0.499983312392272</v>
      </c>
      <c r="I141" s="1" t="n">
        <f aca="false">I$2*COS((PI()*I$1*$A141)/6)</f>
        <v>-8.85787420552329E-016</v>
      </c>
      <c r="J141" s="1" t="n">
        <f aca="false">J$2*SIN((PI()*J$1*$A141)/6)</f>
        <v>0.033221</v>
      </c>
      <c r="K141" s="1" t="n">
        <f aca="false">K$2*COS((PI()*K$1*$A141)/6)</f>
        <v>-0.0292829999999993</v>
      </c>
      <c r="L141" s="1" t="n">
        <f aca="false">L$2*SIN((PI()*L$1*$A141)/6)</f>
        <v>-0.0149874356378936</v>
      </c>
      <c r="M141" s="1" t="n">
        <f aca="false">M$2*COS((PI()*M$1*$A141)/6)</f>
        <v>-0.00229496732002874</v>
      </c>
      <c r="N141" s="1" t="n">
        <f aca="false">N$2*SIN((PI()*N$1*$A141)/6)</f>
        <v>-0.00579200000000017</v>
      </c>
      <c r="O141" s="2" t="n">
        <f aca="false">O$2*(-1)^(A141)</f>
        <v>-0.114941</v>
      </c>
      <c r="P141" s="2" t="n">
        <f aca="false">100*LN(C141)</f>
        <v>454.172972842466</v>
      </c>
      <c r="Q141" s="2" t="n">
        <f aca="false">SUM(E141:O141)</f>
        <v>-0.266866785594936</v>
      </c>
      <c r="R141" s="2" t="n">
        <f aca="false">P141-Q141</f>
        <v>454.439839628061</v>
      </c>
      <c r="S141" s="1" t="n">
        <f aca="false">EXP(R141/100)</f>
        <v>94.1037969823634</v>
      </c>
      <c r="T141" s="2"/>
      <c r="U141" s="2"/>
      <c r="V141" s="4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L141" s="2"/>
      <c r="AM141" s="5"/>
      <c r="AN141" s="2"/>
      <c r="AO141" s="2"/>
      <c r="AP141" s="2"/>
      <c r="AR141" s="2"/>
      <c r="AS141" s="2"/>
      <c r="AT141" s="2"/>
      <c r="AU141" s="2"/>
      <c r="AW141" s="2"/>
      <c r="AX141" s="2"/>
      <c r="AY141" s="2"/>
      <c r="AZ141" s="2"/>
      <c r="BB141" s="2"/>
      <c r="BC141" s="2"/>
      <c r="BD141" s="2"/>
      <c r="BE141" s="2"/>
    </row>
    <row r="142" customFormat="false" ht="12.8" hidden="false" customHeight="false" outlineLevel="0" collapsed="false">
      <c r="A142" s="2" t="n">
        <v>140</v>
      </c>
      <c r="B142" s="2" t="s">
        <v>146</v>
      </c>
      <c r="C142" s="2" t="n">
        <v>94.145</v>
      </c>
      <c r="D142" s="2" t="n">
        <f aca="false">100*LN(C142)</f>
        <v>454.483614694839</v>
      </c>
      <c r="E142" s="2" t="n">
        <f aca="false">E$2*COS((PI()*E$1*$A142)/6)</f>
        <v>0.0804950000000001</v>
      </c>
      <c r="F142" s="2" t="n">
        <f aca="false">F$2*SIN((PI()*F$1*$A142)/6)</f>
        <v>0.143999240039661</v>
      </c>
      <c r="G142" s="1" t="n">
        <f aca="false">G$2*COS((PI()*G$1*$A142)/6)</f>
        <v>-0.1446345</v>
      </c>
      <c r="H142" s="1" t="n">
        <f aca="false">H$2*SIN((PI()*H$1*$A142)/6)</f>
        <v>-0.499983312392274</v>
      </c>
      <c r="I142" s="1" t="n">
        <f aca="false">I$2*COS((PI()*I$1*$A142)/6)</f>
        <v>0.086102</v>
      </c>
      <c r="J142" s="1" t="n">
        <f aca="false">J$2*SIN((PI()*J$1*$A142)/6)</f>
        <v>-4.23360267539269E-016</v>
      </c>
      <c r="K142" s="1" t="n">
        <f aca="false">K$2*COS((PI()*K$1*$A142)/6)</f>
        <v>-0.0292830000000001</v>
      </c>
      <c r="L142" s="1" t="n">
        <f aca="false">L$2*SIN((PI()*L$1*$A142)/6)</f>
        <v>0.0149874356378935</v>
      </c>
      <c r="M142" s="1" t="n">
        <f aca="false">M$2*COS((PI()*M$1*$A142)/6)</f>
        <v>0.0013249999999999</v>
      </c>
      <c r="N142" s="1" t="n">
        <f aca="false">N$2*SIN((PI()*N$1*$A142)/6)</f>
        <v>0.0100320382774392</v>
      </c>
      <c r="O142" s="2" t="n">
        <f aca="false">O$2*(-1)^(A142)</f>
        <v>0.114941</v>
      </c>
      <c r="P142" s="2" t="n">
        <f aca="false">100*LN(C142)</f>
        <v>454.483614694839</v>
      </c>
      <c r="Q142" s="2" t="n">
        <f aca="false">SUM(E142:O142)</f>
        <v>-0.22201909843728</v>
      </c>
      <c r="R142" s="2" t="n">
        <f aca="false">P142-Q142</f>
        <v>454.705633793276</v>
      </c>
      <c r="S142" s="1" t="n">
        <f aca="false">EXP(R142/100)</f>
        <v>94.3542520840644</v>
      </c>
      <c r="T142" s="2"/>
      <c r="U142" s="2"/>
      <c r="V142" s="4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L142" s="2"/>
      <c r="AM142" s="5"/>
      <c r="AN142" s="2"/>
      <c r="AO142" s="2"/>
      <c r="AP142" s="2"/>
      <c r="AR142" s="2"/>
      <c r="AS142" s="2"/>
      <c r="AT142" s="2"/>
      <c r="AU142" s="2"/>
      <c r="AW142" s="2"/>
      <c r="AX142" s="2"/>
      <c r="AY142" s="2"/>
      <c r="AZ142" s="2"/>
      <c r="BB142" s="2"/>
      <c r="BC142" s="2"/>
      <c r="BD142" s="2"/>
      <c r="BE142" s="2"/>
    </row>
    <row r="143" customFormat="false" ht="12.8" hidden="false" customHeight="false" outlineLevel="0" collapsed="false">
      <c r="A143" s="2" t="n">
        <v>141</v>
      </c>
      <c r="B143" s="2" t="s">
        <v>147</v>
      </c>
      <c r="C143" s="2" t="n">
        <v>93.969</v>
      </c>
      <c r="D143" s="2" t="n">
        <f aca="false">100*LN(C143)</f>
        <v>454.296494064419</v>
      </c>
      <c r="E143" s="2" t="n">
        <f aca="false">E$2*COS((PI()*E$1*$A143)/6)</f>
        <v>1.89319477513285E-015</v>
      </c>
      <c r="F143" s="2" t="n">
        <f aca="false">F$2*SIN((PI()*F$1*$A143)/6)</f>
        <v>0.166276</v>
      </c>
      <c r="G143" s="1" t="n">
        <f aca="false">G$2*COS((PI()*G$1*$A143)/6)</f>
        <v>-0.289269</v>
      </c>
      <c r="H143" s="1" t="n">
        <f aca="false">H$2*SIN((PI()*H$1*$A143)/6)</f>
        <v>-1.3578483542111E-014</v>
      </c>
      <c r="I143" s="1" t="n">
        <f aca="false">I$2*COS((PI()*I$1*$A143)/6)</f>
        <v>1.81401913393859E-015</v>
      </c>
      <c r="J143" s="1" t="n">
        <f aca="false">J$2*SIN((PI()*J$1*$A143)/6)</f>
        <v>-0.033221</v>
      </c>
      <c r="K143" s="1" t="n">
        <f aca="false">K$2*COS((PI()*K$1*$A143)/6)</f>
        <v>0.058566</v>
      </c>
      <c r="L143" s="1" t="n">
        <f aca="false">L$2*SIN((PI()*L$1*$A143)/6)</f>
        <v>8.14053761810029E-016</v>
      </c>
      <c r="M143" s="1" t="n">
        <f aca="false">M$2*COS((PI()*M$1*$A143)/6)</f>
        <v>4.28397853328614E-017</v>
      </c>
      <c r="N143" s="1" t="n">
        <f aca="false">N$2*SIN((PI()*N$1*$A143)/6)</f>
        <v>-0.011584</v>
      </c>
      <c r="O143" s="2" t="n">
        <f aca="false">O$2*(-1)^(A143)</f>
        <v>-0.114941</v>
      </c>
      <c r="P143" s="2" t="n">
        <f aca="false">100*LN(C143)</f>
        <v>454.296494064419</v>
      </c>
      <c r="Q143" s="2" t="n">
        <f aca="false">SUM(E143:O143)</f>
        <v>-0.224173000000009</v>
      </c>
      <c r="R143" s="2" t="n">
        <f aca="false">P143-Q143</f>
        <v>454.520667064419</v>
      </c>
      <c r="S143" s="1" t="n">
        <f aca="false">EXP(R143/100)</f>
        <v>94.1798894166198</v>
      </c>
      <c r="T143" s="2"/>
      <c r="U143" s="2"/>
      <c r="V143" s="4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L143" s="2"/>
      <c r="AM143" s="5"/>
      <c r="AN143" s="2"/>
      <c r="AO143" s="2"/>
      <c r="AP143" s="2"/>
      <c r="AR143" s="2"/>
      <c r="AS143" s="2"/>
      <c r="AT143" s="2"/>
      <c r="AU143" s="2"/>
      <c r="AW143" s="2"/>
      <c r="AX143" s="2"/>
      <c r="AY143" s="2"/>
      <c r="AZ143" s="2"/>
      <c r="BB143" s="2"/>
      <c r="BC143" s="2"/>
      <c r="BD143" s="2"/>
      <c r="BE143" s="2"/>
    </row>
    <row r="144" customFormat="false" ht="12.8" hidden="false" customHeight="false" outlineLevel="0" collapsed="false">
      <c r="A144" s="2" t="n">
        <v>142</v>
      </c>
      <c r="B144" s="2" t="s">
        <v>148</v>
      </c>
      <c r="C144" s="2" t="n">
        <v>94.351</v>
      </c>
      <c r="D144" s="2" t="n">
        <f aca="false">100*LN(C144)</f>
        <v>454.702187059252</v>
      </c>
      <c r="E144" s="2" t="n">
        <f aca="false">E$2*COS((PI()*E$1*$A144)/6)</f>
        <v>-0.0804950000000008</v>
      </c>
      <c r="F144" s="2" t="n">
        <f aca="false">F$2*SIN((PI()*F$1*$A144)/6)</f>
        <v>0.143999240039661</v>
      </c>
      <c r="G144" s="1" t="n">
        <f aca="false">G$2*COS((PI()*G$1*$A144)/6)</f>
        <v>-0.144634499999997</v>
      </c>
      <c r="H144" s="1" t="n">
        <f aca="false">H$2*SIN((PI()*H$1*$A144)/6)</f>
        <v>0.499983312392277</v>
      </c>
      <c r="I144" s="1" t="n">
        <f aca="false">I$2*COS((PI()*I$1*$A144)/6)</f>
        <v>-0.086102</v>
      </c>
      <c r="J144" s="1" t="n">
        <f aca="false">J$2*SIN((PI()*J$1*$A144)/6)</f>
        <v>6.52177650375274E-017</v>
      </c>
      <c r="K144" s="1" t="n">
        <f aca="false">K$2*COS((PI()*K$1*$A144)/6)</f>
        <v>-0.0292830000000011</v>
      </c>
      <c r="L144" s="1" t="n">
        <f aca="false">L$2*SIN((PI()*L$1*$A144)/6)</f>
        <v>-0.0149874356378933</v>
      </c>
      <c r="M144" s="1" t="n">
        <f aca="false">M$2*COS((PI()*M$1*$A144)/6)</f>
        <v>-0.0013250000000001</v>
      </c>
      <c r="N144" s="1" t="n">
        <f aca="false">N$2*SIN((PI()*N$1*$A144)/6)</f>
        <v>0.0100320382774387</v>
      </c>
      <c r="O144" s="2" t="n">
        <f aca="false">O$2*(-1)^(A144)</f>
        <v>0.114941</v>
      </c>
      <c r="P144" s="2" t="n">
        <f aca="false">100*LN(C144)</f>
        <v>454.702187059252</v>
      </c>
      <c r="Q144" s="2" t="n">
        <f aca="false">SUM(E144:O144)</f>
        <v>0.412128655071484</v>
      </c>
      <c r="R144" s="2" t="n">
        <f aca="false">P144-Q144</f>
        <v>454.290058404181</v>
      </c>
      <c r="S144" s="1" t="n">
        <f aca="false">EXP(R144/100)</f>
        <v>93.9629526690252</v>
      </c>
      <c r="T144" s="2"/>
      <c r="U144" s="2"/>
      <c r="V144" s="4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L144" s="2"/>
      <c r="AM144" s="5"/>
      <c r="AN144" s="2"/>
      <c r="AO144" s="2"/>
      <c r="AP144" s="2"/>
      <c r="AR144" s="2"/>
      <c r="AS144" s="2"/>
      <c r="AT144" s="2"/>
      <c r="AU144" s="2"/>
      <c r="AW144" s="2"/>
      <c r="AX144" s="2"/>
      <c r="AY144" s="2"/>
      <c r="AZ144" s="2"/>
      <c r="BB144" s="2"/>
      <c r="BC144" s="2"/>
      <c r="BD144" s="2"/>
      <c r="BE144" s="2"/>
    </row>
    <row r="145" customFormat="false" ht="12.8" hidden="false" customHeight="false" outlineLevel="0" collapsed="false">
      <c r="A145" s="2" t="n">
        <v>143</v>
      </c>
      <c r="B145" s="2" t="s">
        <v>149</v>
      </c>
      <c r="C145" s="2" t="n">
        <v>94.547</v>
      </c>
      <c r="D145" s="2" t="n">
        <f aca="false">100*LN(C145)</f>
        <v>454.90970653573</v>
      </c>
      <c r="E145" s="2" t="n">
        <f aca="false">E$2*COS((PI()*E$1*$A145)/6)</f>
        <v>-0.139421429755256</v>
      </c>
      <c r="F145" s="2" t="n">
        <f aca="false">F$2*SIN((PI()*F$1*$A145)/6)</f>
        <v>0.0831380000000009</v>
      </c>
      <c r="G145" s="1" t="n">
        <f aca="false">G$2*COS((PI()*G$1*$A145)/6)</f>
        <v>0.144634499999997</v>
      </c>
      <c r="H145" s="1" t="n">
        <f aca="false">H$2*SIN((PI()*H$1*$A145)/6)</f>
        <v>0.499983312392277</v>
      </c>
      <c r="I145" s="1" t="n">
        <f aca="false">I$2*COS((PI()*I$1*$A145)/6)</f>
        <v>-2.95084821948205E-016</v>
      </c>
      <c r="J145" s="1" t="n">
        <f aca="false">J$2*SIN((PI()*J$1*$A145)/6)</f>
        <v>0.033221</v>
      </c>
      <c r="K145" s="1" t="n">
        <f aca="false">K$2*COS((PI()*K$1*$A145)/6)</f>
        <v>-0.0292830000000012</v>
      </c>
      <c r="L145" s="1" t="n">
        <f aca="false">L$2*SIN((PI()*L$1*$A145)/6)</f>
        <v>0.0149874356378933</v>
      </c>
      <c r="M145" s="1" t="n">
        <f aca="false">M$2*COS((PI()*M$1*$A145)/6)</f>
        <v>0.00229496732002871</v>
      </c>
      <c r="N145" s="1" t="n">
        <f aca="false">N$2*SIN((PI()*N$1*$A145)/6)</f>
        <v>-0.00579200000000042</v>
      </c>
      <c r="O145" s="2" t="n">
        <f aca="false">O$2*(-1)^(A145)</f>
        <v>-0.114941</v>
      </c>
      <c r="P145" s="2" t="n">
        <f aca="false">100*LN(C145)</f>
        <v>454.90970653573</v>
      </c>
      <c r="Q145" s="2" t="n">
        <f aca="false">SUM(E145:O145)</f>
        <v>0.488821785594939</v>
      </c>
      <c r="R145" s="2" t="n">
        <f aca="false">P145-Q145</f>
        <v>454.420884750135</v>
      </c>
      <c r="S145" s="1" t="n">
        <f aca="false">EXP(R145/100)</f>
        <v>94.0859614129305</v>
      </c>
      <c r="T145" s="2"/>
      <c r="U145" s="2"/>
      <c r="V145" s="4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L145" s="2"/>
      <c r="AM145" s="5"/>
      <c r="AN145" s="2"/>
      <c r="AO145" s="2"/>
      <c r="AP145" s="2"/>
      <c r="AR145" s="2"/>
      <c r="AS145" s="2"/>
      <c r="AT145" s="2"/>
      <c r="AU145" s="2"/>
      <c r="AW145" s="2"/>
      <c r="AX145" s="2"/>
      <c r="AY145" s="2"/>
      <c r="AZ145" s="2"/>
      <c r="BB145" s="2"/>
      <c r="BC145" s="2"/>
      <c r="BD145" s="2"/>
      <c r="BE145" s="2"/>
    </row>
    <row r="146" customFormat="false" ht="12.8" hidden="false" customHeight="false" outlineLevel="0" collapsed="false">
      <c r="A146" s="2" t="n">
        <v>144</v>
      </c>
      <c r="B146" s="2" t="s">
        <v>150</v>
      </c>
      <c r="C146" s="2" t="n">
        <v>94.632</v>
      </c>
      <c r="D146" s="2" t="n">
        <f aca="false">100*LN(C146)</f>
        <v>454.999568524344</v>
      </c>
      <c r="E146" s="2" t="n">
        <f aca="false">E$2*COS((PI()*E$1*$A146)/6)</f>
        <v>-0.16099</v>
      </c>
      <c r="F146" s="2" t="n">
        <f aca="false">F$2*SIN((PI()*F$1*$A146)/6)</f>
        <v>4.88710490820061E-016</v>
      </c>
      <c r="G146" s="1" t="n">
        <f aca="false">G$2*COS((PI()*G$1*$A146)/6)</f>
        <v>0.289269</v>
      </c>
      <c r="H146" s="1" t="n">
        <f aca="false">H$2*SIN((PI()*H$1*$A146)/6)</f>
        <v>3.39372749375299E-015</v>
      </c>
      <c r="I146" s="1" t="n">
        <f aca="false">I$2*COS((PI()*I$1*$A146)/6)</f>
        <v>0.086102</v>
      </c>
      <c r="J146" s="1" t="n">
        <f aca="false">J$2*SIN((PI()*J$1*$A146)/6)</f>
        <v>2.92924737464214E-016</v>
      </c>
      <c r="K146" s="1" t="n">
        <f aca="false">K$2*COS((PI()*K$1*$A146)/6)</f>
        <v>0.058566</v>
      </c>
      <c r="L146" s="1" t="n">
        <f aca="false">L$2*SIN((PI()*L$1*$A146)/6)</f>
        <v>2.03459880058023E-016</v>
      </c>
      <c r="M146" s="1" t="n">
        <f aca="false">M$2*COS((PI()*M$1*$A146)/6)</f>
        <v>-0.00265</v>
      </c>
      <c r="N146" s="1" t="n">
        <f aca="false">N$2*SIN((PI()*N$1*$A146)/6)</f>
        <v>1.59001379785925E-016</v>
      </c>
      <c r="O146" s="2" t="n">
        <f aca="false">O$2*(-1)^(A146)</f>
        <v>0.114941</v>
      </c>
      <c r="P146" s="2" t="n">
        <f aca="false">100*LN(C146)</f>
        <v>454.999568524344</v>
      </c>
      <c r="Q146" s="2" t="n">
        <f aca="false">SUM(E146:O146)</f>
        <v>0.385238000000005</v>
      </c>
      <c r="R146" s="2" t="n">
        <f aca="false">P146-Q146</f>
        <v>454.614330524344</v>
      </c>
      <c r="S146" s="1" t="n">
        <f aca="false">EXP(R146/100)</f>
        <v>94.2681428837738</v>
      </c>
      <c r="T146" s="2"/>
      <c r="U146" s="2"/>
      <c r="V146" s="4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L146" s="2"/>
      <c r="AM146" s="5"/>
      <c r="AN146" s="2"/>
      <c r="AO146" s="2"/>
      <c r="AP146" s="2"/>
      <c r="AR146" s="2"/>
      <c r="AS146" s="2"/>
      <c r="AT146" s="2"/>
      <c r="AU146" s="2"/>
      <c r="AW146" s="2"/>
      <c r="AX146" s="2"/>
      <c r="AY146" s="2"/>
      <c r="AZ146" s="2"/>
      <c r="BB146" s="2"/>
      <c r="BC146" s="2"/>
      <c r="BD146" s="2"/>
      <c r="BE146" s="2"/>
    </row>
    <row r="147" customFormat="false" ht="12.8" hidden="false" customHeight="false" outlineLevel="0" collapsed="false">
      <c r="A147" s="2" t="n">
        <v>145</v>
      </c>
      <c r="B147" s="2" t="s">
        <v>151</v>
      </c>
      <c r="C147" s="2" t="n">
        <v>93.373</v>
      </c>
      <c r="D147" s="2" t="n">
        <f aca="false">100*LN(C147)</f>
        <v>453.660222421422</v>
      </c>
      <c r="E147" s="2" t="n">
        <f aca="false">E$2*COS((PI()*E$1*$A147)/6)</f>
        <v>-0.139421429755257</v>
      </c>
      <c r="F147" s="2" t="n">
        <f aca="false">F$2*SIN((PI()*F$1*$A147)/6)</f>
        <v>-0.083138</v>
      </c>
      <c r="G147" s="1" t="n">
        <f aca="false">G$2*COS((PI()*G$1*$A147)/6)</f>
        <v>0.1446345</v>
      </c>
      <c r="H147" s="1" t="n">
        <f aca="false">H$2*SIN((PI()*H$1*$A147)/6)</f>
        <v>-0.499983312392274</v>
      </c>
      <c r="I147" s="1" t="n">
        <f aca="false">I$2*COS((PI()*I$1*$A147)/6)</f>
        <v>1.22331653533447E-015</v>
      </c>
      <c r="J147" s="1" t="n">
        <f aca="false">J$2*SIN((PI()*J$1*$A147)/6)</f>
        <v>-0.033221</v>
      </c>
      <c r="K147" s="1" t="n">
        <f aca="false">K$2*COS((PI()*K$1*$A147)/6)</f>
        <v>-0.029283</v>
      </c>
      <c r="L147" s="1" t="n">
        <f aca="false">L$2*SIN((PI()*L$1*$A147)/6)</f>
        <v>-0.0149874356378935</v>
      </c>
      <c r="M147" s="1" t="n">
        <f aca="false">M$2*COS((PI()*M$1*$A147)/6)</f>
        <v>0.00229496732002874</v>
      </c>
      <c r="N147" s="1" t="n">
        <f aca="false">N$2*SIN((PI()*N$1*$A147)/6)</f>
        <v>0.00579200000000014</v>
      </c>
      <c r="O147" s="2" t="n">
        <f aca="false">O$2*(-1)^(A147)</f>
        <v>-0.114941</v>
      </c>
      <c r="P147" s="2" t="n">
        <f aca="false">100*LN(C147)</f>
        <v>453.660222421422</v>
      </c>
      <c r="Q147" s="2" t="n">
        <f aca="false">SUM(E147:O147)</f>
        <v>-0.762253710465394</v>
      </c>
      <c r="R147" s="2" t="n">
        <f aca="false">P147-Q147</f>
        <v>454.422476131888</v>
      </c>
      <c r="S147" s="1" t="n">
        <f aca="false">EXP(R147/100)</f>
        <v>94.0874586916661</v>
      </c>
      <c r="T147" s="2"/>
      <c r="U147" s="2"/>
      <c r="V147" s="4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L147" s="2"/>
      <c r="AM147" s="5"/>
      <c r="AN147" s="2"/>
      <c r="AO147" s="2"/>
      <c r="AP147" s="2"/>
      <c r="AR147" s="2"/>
      <c r="AS147" s="2"/>
      <c r="AT147" s="2"/>
      <c r="AU147" s="2"/>
      <c r="AW147" s="2"/>
      <c r="AX147" s="2"/>
      <c r="AY147" s="2"/>
      <c r="AZ147" s="2"/>
      <c r="BB147" s="2"/>
      <c r="BC147" s="2"/>
      <c r="BD147" s="2"/>
      <c r="BE147" s="2"/>
    </row>
    <row r="148" customFormat="false" ht="12.8" hidden="false" customHeight="false" outlineLevel="0" collapsed="false">
      <c r="A148" s="2" t="n">
        <v>146</v>
      </c>
      <c r="B148" s="2" t="s">
        <v>152</v>
      </c>
      <c r="C148" s="2" t="n">
        <v>93.333</v>
      </c>
      <c r="D148" s="2" t="n">
        <f aca="false">100*LN(C148)</f>
        <v>453.617374306619</v>
      </c>
      <c r="E148" s="2" t="n">
        <f aca="false">E$2*COS((PI()*E$1*$A148)/6)</f>
        <v>-0.0804950000000016</v>
      </c>
      <c r="F148" s="2" t="n">
        <f aca="false">F$2*SIN((PI()*F$1*$A148)/6)</f>
        <v>-0.14399924003966</v>
      </c>
      <c r="G148" s="1" t="n">
        <f aca="false">G$2*COS((PI()*G$1*$A148)/6)</f>
        <v>-0.144634499999994</v>
      </c>
      <c r="H148" s="1" t="n">
        <f aca="false">H$2*SIN((PI()*H$1*$A148)/6)</f>
        <v>-0.49998331239228</v>
      </c>
      <c r="I148" s="1" t="n">
        <f aca="false">I$2*COS((PI()*I$1*$A148)/6)</f>
        <v>-0.086102</v>
      </c>
      <c r="J148" s="1" t="n">
        <f aca="false">J$2*SIN((PI()*J$1*$A148)/6)</f>
        <v>2.93130369021495E-016</v>
      </c>
      <c r="K148" s="1" t="n">
        <f aca="false">K$2*COS((PI()*K$1*$A148)/6)</f>
        <v>-0.0292830000000023</v>
      </c>
      <c r="L148" s="1" t="n">
        <f aca="false">L$2*SIN((PI()*L$1*$A148)/6)</f>
        <v>0.0149874356378931</v>
      </c>
      <c r="M148" s="1" t="n">
        <f aca="false">M$2*COS((PI()*M$1*$A148)/6)</f>
        <v>-0.00132500000000003</v>
      </c>
      <c r="N148" s="1" t="n">
        <f aca="false">N$2*SIN((PI()*N$1*$A148)/6)</f>
        <v>-0.0100320382774389</v>
      </c>
      <c r="O148" s="2" t="n">
        <f aca="false">O$2*(-1)^(A148)</f>
        <v>0.114941</v>
      </c>
      <c r="P148" s="2" t="n">
        <f aca="false">100*LN(C148)</f>
        <v>453.617374306619</v>
      </c>
      <c r="Q148" s="2" t="n">
        <f aca="false">SUM(E148:O148)</f>
        <v>-0.865925655071484</v>
      </c>
      <c r="R148" s="2" t="n">
        <f aca="false">P148-Q148</f>
        <v>454.483299961691</v>
      </c>
      <c r="S148" s="1" t="n">
        <f aca="false">EXP(R148/100)</f>
        <v>94.1447036949435</v>
      </c>
      <c r="T148" s="2"/>
      <c r="U148" s="2"/>
      <c r="V148" s="4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L148" s="2"/>
      <c r="AM148" s="5"/>
      <c r="AN148" s="2"/>
      <c r="AO148" s="2"/>
      <c r="AP148" s="2"/>
      <c r="AR148" s="2"/>
      <c r="AS148" s="2"/>
      <c r="AT148" s="2"/>
      <c r="AU148" s="2"/>
      <c r="AW148" s="2"/>
      <c r="AX148" s="2"/>
      <c r="AY148" s="2"/>
      <c r="AZ148" s="2"/>
      <c r="BB148" s="2"/>
      <c r="BC148" s="2"/>
      <c r="BD148" s="2"/>
      <c r="BE148" s="2"/>
    </row>
    <row r="149" customFormat="false" ht="12.8" hidden="false" customHeight="false" outlineLevel="0" collapsed="false">
      <c r="A149" s="2" t="n">
        <v>147</v>
      </c>
      <c r="B149" s="2" t="s">
        <v>153</v>
      </c>
      <c r="C149" s="2" t="n">
        <v>93.541</v>
      </c>
      <c r="D149" s="2" t="n">
        <f aca="false">100*LN(C149)</f>
        <v>453.839984285424</v>
      </c>
      <c r="E149" s="2" t="n">
        <f aca="false">E$2*COS((PI()*E$1*$A149)/6)</f>
        <v>9.46846511798137E-016</v>
      </c>
      <c r="F149" s="2" t="n">
        <f aca="false">F$2*SIN((PI()*F$1*$A149)/6)</f>
        <v>-0.166276</v>
      </c>
      <c r="G149" s="1" t="n">
        <f aca="false">G$2*COS((PI()*G$1*$A149)/6)</f>
        <v>-0.289269</v>
      </c>
      <c r="H149" s="1" t="n">
        <f aca="false">H$2*SIN((PI()*H$1*$A149)/6)</f>
        <v>6.79102855460501E-015</v>
      </c>
      <c r="I149" s="1" t="n">
        <f aca="false">I$2*COS((PI()*I$1*$A149)/6)</f>
        <v>-2.15154824872073E-015</v>
      </c>
      <c r="J149" s="1" t="n">
        <f aca="false">J$2*SIN((PI()*J$1*$A149)/6)</f>
        <v>0.033221</v>
      </c>
      <c r="K149" s="1" t="n">
        <f aca="false">K$2*COS((PI()*K$1*$A149)/6)</f>
        <v>0.058566</v>
      </c>
      <c r="L149" s="1" t="n">
        <f aca="false">L$2*SIN((PI()*L$1*$A149)/6)</f>
        <v>-4.07134001693983E-016</v>
      </c>
      <c r="M149" s="1" t="n">
        <f aca="false">M$2*COS((PI()*M$1*$A149)/6)</f>
        <v>-3.50477510929103E-017</v>
      </c>
      <c r="N149" s="1" t="n">
        <f aca="false">N$2*SIN((PI()*N$1*$A149)/6)</f>
        <v>0.011584</v>
      </c>
      <c r="O149" s="2" t="n">
        <f aca="false">O$2*(-1)^(A149)</f>
        <v>-0.114941</v>
      </c>
      <c r="P149" s="2" t="n">
        <f aca="false">100*LN(C149)</f>
        <v>453.839984285424</v>
      </c>
      <c r="Q149" s="2" t="n">
        <f aca="false">SUM(E149:O149)</f>
        <v>-0.467114999999995</v>
      </c>
      <c r="R149" s="2" t="n">
        <f aca="false">P149-Q149</f>
        <v>454.307099285424</v>
      </c>
      <c r="S149" s="1" t="n">
        <f aca="false">EXP(R149/100)</f>
        <v>93.9789661485824</v>
      </c>
      <c r="T149" s="2"/>
      <c r="U149" s="2"/>
      <c r="V149" s="4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L149" s="2"/>
      <c r="AM149" s="5"/>
      <c r="AN149" s="2"/>
      <c r="AO149" s="2"/>
      <c r="AP149" s="2"/>
      <c r="AR149" s="2"/>
      <c r="AS149" s="2"/>
      <c r="AT149" s="2"/>
      <c r="AU149" s="2"/>
      <c r="AW149" s="2"/>
      <c r="AX149" s="2"/>
      <c r="AY149" s="2"/>
      <c r="AZ149" s="2"/>
      <c r="BB149" s="2"/>
      <c r="BC149" s="2"/>
      <c r="BD149" s="2"/>
      <c r="BE149" s="2"/>
    </row>
    <row r="150" customFormat="false" ht="12.8" hidden="false" customHeight="false" outlineLevel="0" collapsed="false">
      <c r="A150" s="2" t="n">
        <v>148</v>
      </c>
      <c r="B150" s="2" t="s">
        <v>154</v>
      </c>
      <c r="C150" s="2" t="n">
        <v>94.373</v>
      </c>
      <c r="D150" s="2" t="n">
        <f aca="false">100*LN(C150)</f>
        <v>454.725501529165</v>
      </c>
      <c r="E150" s="2" t="n">
        <f aca="false">E$2*COS((PI()*E$1*$A150)/6)</f>
        <v>0.0804949999999993</v>
      </c>
      <c r="F150" s="2" t="n">
        <f aca="false">F$2*SIN((PI()*F$1*$A150)/6)</f>
        <v>-0.143999240039662</v>
      </c>
      <c r="G150" s="1" t="n">
        <f aca="false">G$2*COS((PI()*G$1*$A150)/6)</f>
        <v>-0.144634500000003</v>
      </c>
      <c r="H150" s="1" t="n">
        <f aca="false">H$2*SIN((PI()*H$1*$A150)/6)</f>
        <v>0.499983312392271</v>
      </c>
      <c r="I150" s="1" t="n">
        <f aca="false">I$2*COS((PI()*I$1*$A150)/6)</f>
        <v>0.086102</v>
      </c>
      <c r="J150" s="1" t="n">
        <f aca="false">J$2*SIN((PI()*J$1*$A150)/6)</f>
        <v>6.50121334802463E-017</v>
      </c>
      <c r="K150" s="1" t="n">
        <f aca="false">K$2*COS((PI()*K$1*$A150)/6)</f>
        <v>-0.0292829999999989</v>
      </c>
      <c r="L150" s="1" t="n">
        <f aca="false">L$2*SIN((PI()*L$1*$A150)/6)</f>
        <v>-0.0149874356378937</v>
      </c>
      <c r="M150" s="1" t="n">
        <f aca="false">M$2*COS((PI()*M$1*$A150)/6)</f>
        <v>0.00132500000000009</v>
      </c>
      <c r="N150" s="1" t="n">
        <f aca="false">N$2*SIN((PI()*N$1*$A150)/6)</f>
        <v>-0.0100320382774387</v>
      </c>
      <c r="O150" s="2" t="n">
        <f aca="false">O$2*(-1)^(A150)</f>
        <v>0.114941</v>
      </c>
      <c r="P150" s="2" t="n">
        <f aca="false">100*LN(C150)</f>
        <v>454.725501529165</v>
      </c>
      <c r="Q150" s="2" t="n">
        <f aca="false">SUM(E150:O150)</f>
        <v>0.439910098437274</v>
      </c>
      <c r="R150" s="2" t="n">
        <f aca="false">P150-Q150</f>
        <v>454.285591430728</v>
      </c>
      <c r="S150" s="1" t="n">
        <f aca="false">EXP(R150/100)</f>
        <v>93.9587554626191</v>
      </c>
      <c r="T150" s="2"/>
      <c r="U150" s="2"/>
      <c r="V150" s="4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L150" s="2"/>
      <c r="AM150" s="5"/>
      <c r="AN150" s="2"/>
      <c r="AO150" s="2"/>
      <c r="AP150" s="2"/>
      <c r="AR150" s="2"/>
      <c r="AS150" s="2"/>
      <c r="AT150" s="2"/>
      <c r="AU150" s="2"/>
      <c r="AW150" s="2"/>
      <c r="AX150" s="2"/>
      <c r="AY150" s="2"/>
      <c r="AZ150" s="2"/>
      <c r="BB150" s="2"/>
      <c r="BC150" s="2"/>
      <c r="BD150" s="2"/>
      <c r="BE150" s="2"/>
    </row>
    <row r="151" customFormat="false" ht="12.8" hidden="false" customHeight="false" outlineLevel="0" collapsed="false">
      <c r="A151" s="2" t="n">
        <v>149</v>
      </c>
      <c r="B151" s="2" t="s">
        <v>155</v>
      </c>
      <c r="C151" s="2" t="n">
        <v>94.395</v>
      </c>
      <c r="D151" s="2" t="n">
        <f aca="false">100*LN(C151)</f>
        <v>454.748810564701</v>
      </c>
      <c r="E151" s="2" t="n">
        <f aca="false">E$2*COS((PI()*E$1*$A151)/6)</f>
        <v>0.139421429755257</v>
      </c>
      <c r="F151" s="2" t="n">
        <f aca="false">F$2*SIN((PI()*F$1*$A151)/6)</f>
        <v>-0.0831380000000004</v>
      </c>
      <c r="G151" s="1" t="n">
        <f aca="false">G$2*COS((PI()*G$1*$A151)/6)</f>
        <v>0.144634499999999</v>
      </c>
      <c r="H151" s="1" t="n">
        <f aca="false">H$2*SIN((PI()*H$1*$A151)/6)</f>
        <v>0.499983312392275</v>
      </c>
      <c r="I151" s="1" t="n">
        <f aca="false">I$2*COS((PI()*I$1*$A151)/6)</f>
        <v>3.07977996210699E-015</v>
      </c>
      <c r="J151" s="1" t="n">
        <f aca="false">J$2*SIN((PI()*J$1*$A151)/6)</f>
        <v>-0.033221</v>
      </c>
      <c r="K151" s="1" t="n">
        <f aca="false">K$2*COS((PI()*K$1*$A151)/6)</f>
        <v>-0.0292830000000005</v>
      </c>
      <c r="L151" s="1" t="n">
        <f aca="false">L$2*SIN((PI()*L$1*$A151)/6)</f>
        <v>0.0149874356378934</v>
      </c>
      <c r="M151" s="1" t="n">
        <f aca="false">M$2*COS((PI()*M$1*$A151)/6)</f>
        <v>-0.00229496732002878</v>
      </c>
      <c r="N151" s="1" t="n">
        <f aca="false">N$2*SIN((PI()*N$1*$A151)/6)</f>
        <v>0.00579199999999988</v>
      </c>
      <c r="O151" s="2" t="n">
        <f aca="false">O$2*(-1)^(A151)</f>
        <v>-0.114941</v>
      </c>
      <c r="P151" s="2" t="n">
        <f aca="false">100*LN(C151)</f>
        <v>454.748810564701</v>
      </c>
      <c r="Q151" s="2" t="n">
        <f aca="false">SUM(E151:O151)</f>
        <v>0.541940710465397</v>
      </c>
      <c r="R151" s="2" t="n">
        <f aca="false">P151-Q151</f>
        <v>454.206869854235</v>
      </c>
      <c r="S151" s="1" t="n">
        <f aca="false">EXP(R151/100)</f>
        <v>93.8848187549551</v>
      </c>
      <c r="T151" s="2"/>
      <c r="U151" s="2"/>
      <c r="V151" s="4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L151" s="2"/>
      <c r="AM151" s="5"/>
      <c r="AN151" s="2"/>
      <c r="AO151" s="2"/>
      <c r="AP151" s="2"/>
      <c r="AR151" s="2"/>
      <c r="AS151" s="2"/>
      <c r="AT151" s="2"/>
      <c r="AU151" s="2"/>
      <c r="AW151" s="2"/>
      <c r="AX151" s="2"/>
      <c r="AY151" s="2"/>
      <c r="AZ151" s="2"/>
      <c r="BB151" s="2"/>
      <c r="BC151" s="2"/>
      <c r="BD151" s="2"/>
      <c r="BE151" s="2"/>
    </row>
    <row r="152" customFormat="false" ht="12.8" hidden="false" customHeight="false" outlineLevel="0" collapsed="false">
      <c r="A152" s="2" t="n">
        <v>150</v>
      </c>
      <c r="B152" s="2" t="s">
        <v>156</v>
      </c>
      <c r="C152" s="2" t="n">
        <v>94.421</v>
      </c>
      <c r="D152" s="2" t="n">
        <f aca="false">100*LN(C152)</f>
        <v>454.776350603855</v>
      </c>
      <c r="E152" s="2" t="n">
        <f aca="false">E$2*COS((PI()*E$1*$A152)/6)</f>
        <v>0.16099</v>
      </c>
      <c r="F152" s="2" t="n">
        <f aca="false">F$2*SIN((PI()*F$1*$A152)/6)</f>
        <v>8.16575917186689E-017</v>
      </c>
      <c r="G152" s="1" t="n">
        <f aca="false">G$2*COS((PI()*G$1*$A152)/6)</f>
        <v>0.289269</v>
      </c>
      <c r="H152" s="1" t="n">
        <f aca="false">H$2*SIN((PI()*H$1*$A152)/6)</f>
        <v>-5.67050675798441E-016</v>
      </c>
      <c r="I152" s="1" t="n">
        <f aca="false">I$2*COS((PI()*I$1*$A152)/6)</f>
        <v>-0.086102</v>
      </c>
      <c r="J152" s="1" t="n">
        <f aca="false">J$2*SIN((PI()*J$1*$A152)/6)</f>
        <v>-4.23154635981988E-016</v>
      </c>
      <c r="K152" s="1" t="n">
        <f aca="false">K$2*COS((PI()*K$1*$A152)/6)</f>
        <v>0.058566</v>
      </c>
      <c r="L152" s="1" t="n">
        <f aca="false">L$2*SIN((PI()*L$1*$A152)/6)</f>
        <v>-3.39956766408449E-017</v>
      </c>
      <c r="M152" s="1" t="n">
        <f aca="false">M$2*COS((PI()*M$1*$A152)/6)</f>
        <v>0.00265</v>
      </c>
      <c r="N152" s="1" t="n">
        <f aca="false">N$2*SIN((PI()*N$1*$A152)/6)</f>
        <v>4.65411303303112E-016</v>
      </c>
      <c r="O152" s="2" t="n">
        <f aca="false">O$2*(-1)^(A152)</f>
        <v>0.114941</v>
      </c>
      <c r="P152" s="2" t="n">
        <f aca="false">100*LN(C152)</f>
        <v>454.776350603855</v>
      </c>
      <c r="Q152" s="2" t="n">
        <f aca="false">SUM(E152:O152)</f>
        <v>0.540314</v>
      </c>
      <c r="R152" s="2" t="n">
        <f aca="false">P152-Q152</f>
        <v>454.236036603855</v>
      </c>
      <c r="S152" s="1" t="n">
        <f aca="false">EXP(R152/100)</f>
        <v>93.9122058987475</v>
      </c>
      <c r="T152" s="2"/>
      <c r="U152" s="2"/>
      <c r="V152" s="4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L152" s="2"/>
      <c r="AM152" s="5"/>
      <c r="AN152" s="2"/>
      <c r="AO152" s="2"/>
      <c r="AP152" s="2"/>
      <c r="AR152" s="2"/>
      <c r="AS152" s="2"/>
      <c r="AT152" s="2"/>
      <c r="AU152" s="2"/>
      <c r="AW152" s="2"/>
      <c r="AX152" s="2"/>
      <c r="AY152" s="2"/>
      <c r="AZ152" s="2"/>
      <c r="BB152" s="2"/>
      <c r="BC152" s="2"/>
      <c r="BD152" s="2"/>
      <c r="BE152" s="2"/>
    </row>
    <row r="153" customFormat="false" ht="12.8" hidden="false" customHeight="false" outlineLevel="0" collapsed="false">
      <c r="A153" s="2" t="n">
        <v>151</v>
      </c>
      <c r="B153" s="2" t="s">
        <v>157</v>
      </c>
      <c r="C153" s="2" t="n">
        <v>93.533</v>
      </c>
      <c r="D153" s="2" t="n">
        <f aca="false">100*LN(C153)</f>
        <v>453.831431520203</v>
      </c>
      <c r="E153" s="2" t="n">
        <f aca="false">E$2*COS((PI()*E$1*$A153)/6)</f>
        <v>0.139421429755258</v>
      </c>
      <c r="F153" s="2" t="n">
        <f aca="false">F$2*SIN((PI()*F$1*$A153)/6)</f>
        <v>0.0831379999999985</v>
      </c>
      <c r="G153" s="1" t="n">
        <f aca="false">G$2*COS((PI()*G$1*$A153)/6)</f>
        <v>0.144634500000005</v>
      </c>
      <c r="H153" s="1" t="n">
        <f aca="false">H$2*SIN((PI()*H$1*$A153)/6)</f>
        <v>-0.499983312392268</v>
      </c>
      <c r="I153" s="1" t="n">
        <f aca="false">I$2*COS((PI()*I$1*$A153)/6)</f>
        <v>8.86320375260044E-016</v>
      </c>
      <c r="J153" s="1" t="n">
        <f aca="false">J$2*SIN((PI()*J$1*$A153)/6)</f>
        <v>0.033221</v>
      </c>
      <c r="K153" s="1" t="n">
        <f aca="false">K$2*COS((PI()*K$1*$A153)/6)</f>
        <v>-0.0292829999999978</v>
      </c>
      <c r="L153" s="1" t="n">
        <f aca="false">L$2*SIN((PI()*L$1*$A153)/6)</f>
        <v>-0.0149874356378939</v>
      </c>
      <c r="M153" s="1" t="n">
        <f aca="false">M$2*COS((PI()*M$1*$A153)/6)</f>
        <v>-0.00229496732002867</v>
      </c>
      <c r="N153" s="1" t="n">
        <f aca="false">N$2*SIN((PI()*N$1*$A153)/6)</f>
        <v>-0.00579200000000068</v>
      </c>
      <c r="O153" s="2" t="n">
        <f aca="false">O$2*(-1)^(A153)</f>
        <v>-0.114941</v>
      </c>
      <c r="P153" s="2" t="n">
        <f aca="false">100*LN(C153)</f>
        <v>453.831431520203</v>
      </c>
      <c r="Q153" s="2" t="n">
        <f aca="false">SUM(E153:O153)</f>
        <v>-0.266866785594926</v>
      </c>
      <c r="R153" s="2" t="n">
        <f aca="false">P153-Q153</f>
        <v>454.098298305798</v>
      </c>
      <c r="S153" s="1" t="n">
        <f aca="false">EXP(R153/100)</f>
        <v>93.7829418681491</v>
      </c>
      <c r="T153" s="2"/>
      <c r="U153" s="2"/>
      <c r="V153" s="4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L153" s="2"/>
      <c r="AM153" s="5"/>
      <c r="AN153" s="2"/>
      <c r="AO153" s="2"/>
      <c r="AP153" s="2"/>
      <c r="AR153" s="2"/>
      <c r="AS153" s="2"/>
      <c r="AT153" s="2"/>
      <c r="AU153" s="2"/>
      <c r="AW153" s="2"/>
      <c r="AX153" s="2"/>
      <c r="AY153" s="2"/>
      <c r="AZ153" s="2"/>
      <c r="BB153" s="2"/>
      <c r="BC153" s="2"/>
      <c r="BD153" s="2"/>
      <c r="BE153" s="2"/>
    </row>
    <row r="154" customFormat="false" ht="12.8" hidden="false" customHeight="false" outlineLevel="0" collapsed="false">
      <c r="A154" s="2" t="n">
        <v>152</v>
      </c>
      <c r="B154" s="2" t="s">
        <v>158</v>
      </c>
      <c r="C154" s="2" t="n">
        <v>93.681</v>
      </c>
      <c r="D154" s="2" t="n">
        <f aca="false">100*LN(C154)</f>
        <v>453.989539386955</v>
      </c>
      <c r="E154" s="2" t="n">
        <f aca="false">E$2*COS((PI()*E$1*$A154)/6)</f>
        <v>0.0804950000000011</v>
      </c>
      <c r="F154" s="2" t="n">
        <f aca="false">F$2*SIN((PI()*F$1*$A154)/6)</f>
        <v>0.143999240039661</v>
      </c>
      <c r="G154" s="1" t="n">
        <f aca="false">G$2*COS((PI()*G$1*$A154)/6)</f>
        <v>-0.144634499999996</v>
      </c>
      <c r="H154" s="1" t="n">
        <f aca="false">H$2*SIN((PI()*H$1*$A154)/6)</f>
        <v>-0.499983312392278</v>
      </c>
      <c r="I154" s="1" t="n">
        <f aca="false">I$2*COS((PI()*I$1*$A154)/6)</f>
        <v>0.086102</v>
      </c>
      <c r="J154" s="1" t="n">
        <f aca="false">J$2*SIN((PI()*J$1*$A154)/6)</f>
        <v>7.8129713848373E-016</v>
      </c>
      <c r="K154" s="1" t="n">
        <f aca="false">K$2*COS((PI()*K$1*$A154)/6)</f>
        <v>-0.0292830000000016</v>
      </c>
      <c r="L154" s="1" t="n">
        <f aca="false">L$2*SIN((PI()*L$1*$A154)/6)</f>
        <v>0.0149874356378932</v>
      </c>
      <c r="M154" s="1" t="n">
        <f aca="false">M$2*COS((PI()*M$1*$A154)/6)</f>
        <v>0.00132500000000004</v>
      </c>
      <c r="N154" s="1" t="n">
        <f aca="false">N$2*SIN((PI()*N$1*$A154)/6)</f>
        <v>0.0100320382774388</v>
      </c>
      <c r="O154" s="2" t="n">
        <f aca="false">O$2*(-1)^(A154)</f>
        <v>0.114941</v>
      </c>
      <c r="P154" s="2" t="n">
        <f aca="false">100*LN(C154)</f>
        <v>453.989539386955</v>
      </c>
      <c r="Q154" s="2" t="n">
        <f aca="false">SUM(E154:O154)</f>
        <v>-0.222019098437281</v>
      </c>
      <c r="R154" s="2" t="n">
        <f aca="false">P154-Q154</f>
        <v>454.211558485392</v>
      </c>
      <c r="S154" s="1" t="n">
        <f aca="false">EXP(R154/100)</f>
        <v>93.8892207710153</v>
      </c>
      <c r="T154" s="2"/>
      <c r="U154" s="2"/>
      <c r="V154" s="4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L154" s="2"/>
      <c r="AM154" s="5"/>
      <c r="AN154" s="2"/>
      <c r="AO154" s="2"/>
      <c r="AP154" s="2"/>
      <c r="AR154" s="2"/>
      <c r="AS154" s="2"/>
      <c r="AT154" s="2"/>
      <c r="AU154" s="2"/>
      <c r="AW154" s="2"/>
      <c r="AX154" s="2"/>
      <c r="AY154" s="2"/>
      <c r="AZ154" s="2"/>
      <c r="BB154" s="2"/>
      <c r="BC154" s="2"/>
      <c r="BD154" s="2"/>
      <c r="BE154" s="2"/>
    </row>
    <row r="155" customFormat="false" ht="12.8" hidden="false" customHeight="false" outlineLevel="0" collapsed="false">
      <c r="A155" s="2" t="n">
        <v>153</v>
      </c>
      <c r="B155" s="2" t="s">
        <v>159</v>
      </c>
      <c r="C155" s="2" t="n">
        <v>93.824</v>
      </c>
      <c r="D155" s="2" t="n">
        <f aca="false">100*LN(C155)</f>
        <v>454.142068682413</v>
      </c>
      <c r="E155" s="2" t="n">
        <f aca="false">E$2*COS((PI()*E$1*$A155)/6)</f>
        <v>7.88723202471614E-016</v>
      </c>
      <c r="F155" s="2" t="n">
        <f aca="false">F$2*SIN((PI()*F$1*$A155)/6)</f>
        <v>0.166276</v>
      </c>
      <c r="G155" s="1" t="n">
        <f aca="false">G$2*COS((PI()*G$1*$A155)/6)</f>
        <v>-0.289269</v>
      </c>
      <c r="H155" s="1" t="n">
        <f aca="false">H$2*SIN((PI()*H$1*$A155)/6)</f>
        <v>-5.65692720300813E-015</v>
      </c>
      <c r="I155" s="1" t="n">
        <f aca="false">I$2*COS((PI()*I$1*$A155)/6)</f>
        <v>4.19113381262165E-017</v>
      </c>
      <c r="J155" s="1" t="n">
        <f aca="false">J$2*SIN((PI()*J$1*$A155)/6)</f>
        <v>-0.033221</v>
      </c>
      <c r="K155" s="1" t="n">
        <f aca="false">K$2*COS((PI()*K$1*$A155)/6)</f>
        <v>0.058566</v>
      </c>
      <c r="L155" s="1" t="n">
        <f aca="false">L$2*SIN((PI()*L$1*$A155)/6)</f>
        <v>3.39142648412293E-016</v>
      </c>
      <c r="M155" s="1" t="n">
        <f aca="false">M$2*COS((PI()*M$1*$A155)/6)</f>
        <v>2.72557168529592E-017</v>
      </c>
      <c r="N155" s="1" t="n">
        <f aca="false">N$2*SIN((PI()*N$1*$A155)/6)</f>
        <v>-0.011584</v>
      </c>
      <c r="O155" s="2" t="n">
        <f aca="false">O$2*(-1)^(A155)</f>
        <v>-0.114941</v>
      </c>
      <c r="P155" s="2" t="n">
        <f aca="false">100*LN(C155)</f>
        <v>454.142068682413</v>
      </c>
      <c r="Q155" s="2" t="n">
        <f aca="false">SUM(E155:O155)</f>
        <v>-0.224173000000004</v>
      </c>
      <c r="R155" s="2" t="n">
        <f aca="false">P155-Q155</f>
        <v>454.366241682413</v>
      </c>
      <c r="S155" s="1" t="n">
        <f aca="false">EXP(R155/100)</f>
        <v>94.0345640011592</v>
      </c>
      <c r="T155" s="2"/>
      <c r="U155" s="2"/>
      <c r="V155" s="4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L155" s="2"/>
      <c r="AM155" s="5"/>
      <c r="AN155" s="2"/>
      <c r="AO155" s="2"/>
      <c r="AP155" s="2"/>
      <c r="AR155" s="2"/>
      <c r="AS155" s="2"/>
      <c r="AT155" s="2"/>
      <c r="AU155" s="2"/>
      <c r="AW155" s="2"/>
      <c r="AX155" s="2"/>
      <c r="AY155" s="2"/>
      <c r="AZ155" s="2"/>
      <c r="BB155" s="2"/>
      <c r="BC155" s="2"/>
      <c r="BD155" s="2"/>
      <c r="BE155" s="2"/>
    </row>
    <row r="156" customFormat="false" ht="12.8" hidden="false" customHeight="false" outlineLevel="0" collapsed="false">
      <c r="A156" s="2" t="n">
        <v>154</v>
      </c>
      <c r="B156" s="2" t="s">
        <v>160</v>
      </c>
      <c r="C156" s="2" t="n">
        <v>94.261</v>
      </c>
      <c r="D156" s="2" t="n">
        <f aca="false">100*LN(C156)</f>
        <v>454.606753039327</v>
      </c>
      <c r="E156" s="2" t="n">
        <f aca="false">E$2*COS((PI()*E$1*$A156)/6)</f>
        <v>-0.0804949999999997</v>
      </c>
      <c r="F156" s="2" t="n">
        <f aca="false">F$2*SIN((PI()*F$1*$A156)/6)</f>
        <v>0.143999240039662</v>
      </c>
      <c r="G156" s="1" t="n">
        <f aca="false">G$2*COS((PI()*G$1*$A156)/6)</f>
        <v>-0.144634500000001</v>
      </c>
      <c r="H156" s="1" t="n">
        <f aca="false">H$2*SIN((PI()*H$1*$A156)/6)</f>
        <v>0.499983312392273</v>
      </c>
      <c r="I156" s="1" t="n">
        <f aca="false">I$2*COS((PI()*I$1*$A156)/6)</f>
        <v>-0.086102</v>
      </c>
      <c r="J156" s="1" t="n">
        <f aca="false">J$2*SIN((PI()*J$1*$A156)/6)</f>
        <v>-1.9524203199802E-016</v>
      </c>
      <c r="K156" s="1" t="n">
        <f aca="false">K$2*COS((PI()*K$1*$A156)/6)</f>
        <v>-0.0292829999999996</v>
      </c>
      <c r="L156" s="1" t="n">
        <f aca="false">L$2*SIN((PI()*L$1*$A156)/6)</f>
        <v>-0.0149874356378936</v>
      </c>
      <c r="M156" s="1" t="n">
        <f aca="false">M$2*COS((PI()*M$1*$A156)/6)</f>
        <v>-0.00132499999999996</v>
      </c>
      <c r="N156" s="1" t="n">
        <f aca="false">N$2*SIN((PI()*N$1*$A156)/6)</f>
        <v>0.010032038277439</v>
      </c>
      <c r="O156" s="2" t="n">
        <f aca="false">O$2*(-1)^(A156)</f>
        <v>0.114941</v>
      </c>
      <c r="P156" s="2" t="n">
        <f aca="false">100*LN(C156)</f>
        <v>454.606753039327</v>
      </c>
      <c r="Q156" s="2" t="n">
        <f aca="false">SUM(E156:O156)</f>
        <v>0.412128655071479</v>
      </c>
      <c r="R156" s="2" t="n">
        <f aca="false">P156-Q156</f>
        <v>454.194624384255</v>
      </c>
      <c r="S156" s="1" t="n">
        <f aca="false">EXP(R156/100)</f>
        <v>93.8733228215386</v>
      </c>
      <c r="T156" s="2"/>
      <c r="U156" s="2"/>
      <c r="V156" s="4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L156" s="2"/>
      <c r="AM156" s="5"/>
      <c r="AN156" s="2"/>
      <c r="AO156" s="2"/>
      <c r="AP156" s="2"/>
      <c r="AR156" s="2"/>
      <c r="AS156" s="2"/>
      <c r="AT156" s="2"/>
      <c r="AU156" s="2"/>
      <c r="AW156" s="2"/>
      <c r="AX156" s="2"/>
      <c r="AY156" s="2"/>
      <c r="AZ156" s="2"/>
      <c r="BB156" s="2"/>
      <c r="BC156" s="2"/>
      <c r="BD156" s="2"/>
      <c r="BE156" s="2"/>
    </row>
    <row r="157" customFormat="false" ht="12.8" hidden="false" customHeight="false" outlineLevel="0" collapsed="false">
      <c r="A157" s="2" t="n">
        <v>155</v>
      </c>
      <c r="B157" s="2" t="s">
        <v>161</v>
      </c>
      <c r="C157" s="2" t="n">
        <v>94.195</v>
      </c>
      <c r="D157" s="2" t="n">
        <f aca="false">100*LN(C157)</f>
        <v>454.536710161734</v>
      </c>
      <c r="E157" s="2" t="n">
        <f aca="false">E$2*COS((PI()*E$1*$A157)/6)</f>
        <v>-0.139421429755257</v>
      </c>
      <c r="F157" s="2" t="n">
        <f aca="false">F$2*SIN((PI()*F$1*$A157)/6)</f>
        <v>0.0831379999999999</v>
      </c>
      <c r="G157" s="1" t="n">
        <f aca="false">G$2*COS((PI()*G$1*$A157)/6)</f>
        <v>0.1446345</v>
      </c>
      <c r="H157" s="1" t="n">
        <f aca="false">H$2*SIN((PI()*H$1*$A157)/6)</f>
        <v>0.499983312392273</v>
      </c>
      <c r="I157" s="1" t="n">
        <f aca="false">I$2*COS((PI()*I$1*$A157)/6)</f>
        <v>-9.70143051512477E-016</v>
      </c>
      <c r="J157" s="1" t="n">
        <f aca="false">J$2*SIN((PI()*J$1*$A157)/6)</f>
        <v>0.033221</v>
      </c>
      <c r="K157" s="1" t="n">
        <f aca="false">K$2*COS((PI()*K$1*$A157)/6)</f>
        <v>-0.0292829999999998</v>
      </c>
      <c r="L157" s="1" t="n">
        <f aca="false">L$2*SIN((PI()*L$1*$A157)/6)</f>
        <v>0.0149874356378935</v>
      </c>
      <c r="M157" s="1" t="n">
        <f aca="false">M$2*COS((PI()*M$1*$A157)/6)</f>
        <v>0.00229496732002877</v>
      </c>
      <c r="N157" s="1" t="n">
        <f aca="false">N$2*SIN((PI()*N$1*$A157)/6)</f>
        <v>-0.00579199999999991</v>
      </c>
      <c r="O157" s="2" t="n">
        <f aca="false">O$2*(-1)^(A157)</f>
        <v>-0.114941</v>
      </c>
      <c r="P157" s="2" t="n">
        <f aca="false">100*LN(C157)</f>
        <v>454.536710161734</v>
      </c>
      <c r="Q157" s="2" t="n">
        <f aca="false">SUM(E157:O157)</f>
        <v>0.488821785594938</v>
      </c>
      <c r="R157" s="2" t="n">
        <f aca="false">P157-Q157</f>
        <v>454.047888376139</v>
      </c>
      <c r="S157" s="1" t="n">
        <f aca="false">EXP(R157/100)</f>
        <v>93.7356778669972</v>
      </c>
      <c r="T157" s="2"/>
      <c r="U157" s="2"/>
      <c r="V157" s="4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L157" s="2"/>
      <c r="AM157" s="5"/>
      <c r="AN157" s="2"/>
      <c r="AO157" s="2"/>
      <c r="AP157" s="2"/>
      <c r="AR157" s="2"/>
      <c r="AS157" s="2"/>
      <c r="AT157" s="2"/>
      <c r="AU157" s="2"/>
      <c r="AW157" s="2"/>
      <c r="AX157" s="2"/>
      <c r="AY157" s="2"/>
      <c r="AZ157" s="2"/>
      <c r="BB157" s="2"/>
      <c r="BC157" s="2"/>
      <c r="BD157" s="2"/>
      <c r="BE157" s="2"/>
    </row>
    <row r="158" customFormat="false" ht="12.8" hidden="false" customHeight="false" outlineLevel="0" collapsed="false">
      <c r="A158" s="2" t="n">
        <v>156</v>
      </c>
      <c r="B158" s="2" t="s">
        <v>162</v>
      </c>
      <c r="C158" s="2" t="n">
        <v>93.646</v>
      </c>
      <c r="D158" s="2" t="n">
        <f aca="false">100*LN(C158)</f>
        <v>453.952171575153</v>
      </c>
      <c r="E158" s="2" t="n">
        <f aca="false">E$2*COS((PI()*E$1*$A158)/6)</f>
        <v>-0.16099</v>
      </c>
      <c r="F158" s="2" t="n">
        <f aca="false">F$2*SIN((PI()*F$1*$A158)/6)</f>
        <v>1.71089840436753E-015</v>
      </c>
      <c r="G158" s="1" t="n">
        <f aca="false">G$2*COS((PI()*G$1*$A158)/6)</f>
        <v>0.289269</v>
      </c>
      <c r="H158" s="1" t="n">
        <f aca="false">H$2*SIN((PI()*H$1*$A158)/6)</f>
        <v>1.18809050818147E-014</v>
      </c>
      <c r="I158" s="1" t="n">
        <f aca="false">I$2*COS((PI()*I$1*$A158)/6)</f>
        <v>0.086102</v>
      </c>
      <c r="J158" s="1" t="n">
        <f aca="false">J$2*SIN((PI()*J$1*$A158)/6)</f>
        <v>5.53384534499762E-016</v>
      </c>
      <c r="K158" s="1" t="n">
        <f aca="false">K$2*COS((PI()*K$1*$A158)/6)</f>
        <v>0.058566</v>
      </c>
      <c r="L158" s="1" t="n">
        <f aca="false">L$2*SIN((PI()*L$1*$A158)/6)</f>
        <v>7.1228097346543E-016</v>
      </c>
      <c r="M158" s="1" t="n">
        <f aca="false">M$2*COS((PI()*M$1*$A158)/6)</f>
        <v>-0.00265</v>
      </c>
      <c r="N158" s="1" t="n">
        <f aca="false">N$2*SIN((PI()*N$1*$A158)/6)</f>
        <v>-4.31349822308548E-016</v>
      </c>
      <c r="O158" s="2" t="n">
        <f aca="false">O$2*(-1)^(A158)</f>
        <v>0.114941</v>
      </c>
      <c r="P158" s="2" t="n">
        <f aca="false">100*LN(C158)</f>
        <v>453.952171575153</v>
      </c>
      <c r="Q158" s="2" t="n">
        <f aca="false">SUM(E158:O158)</f>
        <v>0.385238000000014</v>
      </c>
      <c r="R158" s="2" t="n">
        <f aca="false">P158-Q158</f>
        <v>453.566933575153</v>
      </c>
      <c r="S158" s="1" t="n">
        <f aca="false">EXP(R158/100)</f>
        <v>93.2859340233101</v>
      </c>
      <c r="T158" s="2"/>
      <c r="U158" s="2"/>
      <c r="V158" s="4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L158" s="2"/>
      <c r="AM158" s="5"/>
      <c r="AN158" s="2"/>
      <c r="AO158" s="2"/>
      <c r="AP158" s="2"/>
      <c r="AR158" s="2"/>
      <c r="AS158" s="2"/>
      <c r="AT158" s="2"/>
      <c r="AU158" s="2"/>
      <c r="AW158" s="2"/>
      <c r="AX158" s="2"/>
      <c r="AY158" s="2"/>
      <c r="AZ158" s="2"/>
      <c r="BB158" s="2"/>
      <c r="BC158" s="2"/>
      <c r="BD158" s="2"/>
      <c r="BE158" s="2"/>
    </row>
    <row r="159" customFormat="false" ht="12.8" hidden="false" customHeight="false" outlineLevel="0" collapsed="false">
      <c r="A159" s="2" t="n">
        <v>157</v>
      </c>
      <c r="B159" s="2" t="s">
        <v>163</v>
      </c>
      <c r="C159" s="2" t="n">
        <v>92.141</v>
      </c>
      <c r="D159" s="2" t="n">
        <f aca="false">100*LN(C159)</f>
        <v>452.332001249858</v>
      </c>
      <c r="E159" s="2" t="n">
        <f aca="false">E$2*COS((PI()*E$1*$A159)/6)</f>
        <v>-0.139421429755257</v>
      </c>
      <c r="F159" s="2" t="n">
        <f aca="false">F$2*SIN((PI()*F$1*$A159)/6)</f>
        <v>-0.083137999999999</v>
      </c>
      <c r="G159" s="1" t="n">
        <f aca="false">G$2*COS((PI()*G$1*$A159)/6)</f>
        <v>0.144634500000004</v>
      </c>
      <c r="H159" s="1" t="n">
        <f aca="false">H$2*SIN((PI()*H$1*$A159)/6)</f>
        <v>-0.49998331239227</v>
      </c>
      <c r="I159" s="1" t="n">
        <f aca="false">I$2*COS((PI()*I$1*$A159)/6)</f>
        <v>-5.48791260477908E-016</v>
      </c>
      <c r="J159" s="1" t="n">
        <f aca="false">J$2*SIN((PI()*J$1*$A159)/6)</f>
        <v>-0.033221</v>
      </c>
      <c r="K159" s="1" t="n">
        <f aca="false">K$2*COS((PI()*K$1*$A159)/6)</f>
        <v>-0.0292829999999985</v>
      </c>
      <c r="L159" s="1" t="n">
        <f aca="false">L$2*SIN((PI()*L$1*$A159)/6)</f>
        <v>-0.0149874356378937</v>
      </c>
      <c r="M159" s="1" t="n">
        <f aca="false">M$2*COS((PI()*M$1*$A159)/6)</f>
        <v>0.00229496732002875</v>
      </c>
      <c r="N159" s="1" t="n">
        <f aca="false">N$2*SIN((PI()*N$1*$A159)/6)</f>
        <v>0.00579200000000008</v>
      </c>
      <c r="O159" s="2" t="n">
        <f aca="false">O$2*(-1)^(A159)</f>
        <v>-0.114941</v>
      </c>
      <c r="P159" s="2" t="n">
        <f aca="false">100*LN(C159)</f>
        <v>452.332001249858</v>
      </c>
      <c r="Q159" s="2" t="n">
        <f aca="false">SUM(E159:O159)</f>
        <v>-0.762253710465386</v>
      </c>
      <c r="R159" s="2" t="n">
        <f aca="false">P159-Q159</f>
        <v>453.094254960324</v>
      </c>
      <c r="S159" s="1" t="n">
        <f aca="false">EXP(R159/100)</f>
        <v>92.8460318433465</v>
      </c>
      <c r="T159" s="2"/>
      <c r="U159" s="2"/>
      <c r="V159" s="4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L159" s="2"/>
      <c r="AM159" s="5"/>
      <c r="AN159" s="2"/>
      <c r="AO159" s="2"/>
      <c r="AP159" s="2"/>
      <c r="AR159" s="2"/>
      <c r="AS159" s="2"/>
      <c r="AT159" s="2"/>
      <c r="AU159" s="2"/>
      <c r="AW159" s="2"/>
      <c r="AX159" s="2"/>
      <c r="AY159" s="2"/>
      <c r="AZ159" s="2"/>
      <c r="BB159" s="2"/>
      <c r="BC159" s="2"/>
      <c r="BD159" s="2"/>
      <c r="BE159" s="2"/>
    </row>
    <row r="160" customFormat="false" ht="12.8" hidden="false" customHeight="false" outlineLevel="0" collapsed="false">
      <c r="A160" s="2" t="n">
        <v>158</v>
      </c>
      <c r="B160" s="2" t="s">
        <v>164</v>
      </c>
      <c r="C160" s="2" t="n">
        <v>92.331</v>
      </c>
      <c r="D160" s="2" t="n">
        <f aca="false">100*LN(C160)</f>
        <v>452.53799464418</v>
      </c>
      <c r="E160" s="2" t="n">
        <f aca="false">E$2*COS((PI()*E$1*$A160)/6)</f>
        <v>-0.0804950000000006</v>
      </c>
      <c r="F160" s="2" t="n">
        <f aca="false">F$2*SIN((PI()*F$1*$A160)/6)</f>
        <v>-0.143999240039661</v>
      </c>
      <c r="G160" s="1" t="n">
        <f aca="false">G$2*COS((PI()*G$1*$A160)/6)</f>
        <v>-0.144634499999998</v>
      </c>
      <c r="H160" s="1" t="n">
        <f aca="false">H$2*SIN((PI()*H$1*$A160)/6)</f>
        <v>-0.499983312392276</v>
      </c>
      <c r="I160" s="1" t="n">
        <f aca="false">I$2*COS((PI()*I$1*$A160)/6)</f>
        <v>-0.086102</v>
      </c>
      <c r="J160" s="1" t="n">
        <f aca="false">J$2*SIN((PI()*J$1*$A160)/6)</f>
        <v>-9.11527037001504E-016</v>
      </c>
      <c r="K160" s="1" t="n">
        <f aca="false">K$2*COS((PI()*K$1*$A160)/6)</f>
        <v>-0.0292830000000009</v>
      </c>
      <c r="L160" s="1" t="n">
        <f aca="false">L$2*SIN((PI()*L$1*$A160)/6)</f>
        <v>0.0149874356378933</v>
      </c>
      <c r="M160" s="1" t="n">
        <f aca="false">M$2*COS((PI()*M$1*$A160)/6)</f>
        <v>-0.00132499999999992</v>
      </c>
      <c r="N160" s="1" t="n">
        <f aca="false">N$2*SIN((PI()*N$1*$A160)/6)</f>
        <v>-0.0100320382774391</v>
      </c>
      <c r="O160" s="2" t="n">
        <f aca="false">O$2*(-1)^(A160)</f>
        <v>0.114941</v>
      </c>
      <c r="P160" s="2" t="n">
        <f aca="false">100*LN(C160)</f>
        <v>452.53799464418</v>
      </c>
      <c r="Q160" s="2" t="n">
        <f aca="false">SUM(E160:O160)</f>
        <v>-0.865925655071483</v>
      </c>
      <c r="R160" s="2" t="n">
        <f aca="false">P160-Q160</f>
        <v>453.403920299251</v>
      </c>
      <c r="S160" s="1" t="n">
        <f aca="false">EXP(R160/100)</f>
        <v>93.1339894448676</v>
      </c>
      <c r="T160" s="2"/>
      <c r="U160" s="2"/>
      <c r="V160" s="4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L160" s="2"/>
      <c r="AM160" s="5"/>
      <c r="AN160" s="2"/>
      <c r="AO160" s="2"/>
      <c r="AP160" s="2"/>
      <c r="AR160" s="2"/>
      <c r="AS160" s="2"/>
      <c r="AT160" s="2"/>
      <c r="AU160" s="2"/>
      <c r="AW160" s="2"/>
      <c r="AX160" s="2"/>
      <c r="AY160" s="2"/>
      <c r="AZ160" s="2"/>
      <c r="BB160" s="2"/>
      <c r="BC160" s="2"/>
      <c r="BD160" s="2"/>
      <c r="BE160" s="2"/>
    </row>
    <row r="161" customFormat="false" ht="12.8" hidden="false" customHeight="false" outlineLevel="0" collapsed="false">
      <c r="A161" s="2" t="n">
        <v>159</v>
      </c>
      <c r="B161" s="2" t="s">
        <v>165</v>
      </c>
      <c r="C161" s="2" t="n">
        <v>92.92</v>
      </c>
      <c r="D161" s="2" t="n">
        <f aca="false">100*LN(C161)</f>
        <v>453.173890790221</v>
      </c>
      <c r="E161" s="2" t="n">
        <f aca="false">E$2*COS((PI()*E$1*$A161)/6)</f>
        <v>-2.36487416140995E-016</v>
      </c>
      <c r="F161" s="2" t="n">
        <f aca="false">F$2*SIN((PI()*F$1*$A161)/6)</f>
        <v>-0.166276</v>
      </c>
      <c r="G161" s="1" t="n">
        <f aca="false">G$2*COS((PI()*G$1*$A161)/6)</f>
        <v>-0.289269</v>
      </c>
      <c r="H161" s="1" t="n">
        <f aca="false">H$2*SIN((PI()*H$1*$A161)/6)</f>
        <v>-1.69614903345669E-015</v>
      </c>
      <c r="I161" s="1" t="n">
        <f aca="false">I$2*COS((PI()*I$1*$A161)/6)</f>
        <v>-3.79440452908353E-016</v>
      </c>
      <c r="J161" s="1" t="n">
        <f aca="false">J$2*SIN((PI()*J$1*$A161)/6)</f>
        <v>0.033221</v>
      </c>
      <c r="K161" s="1" t="n">
        <f aca="false">K$2*COS((PI()*K$1*$A161)/6)</f>
        <v>0.058566</v>
      </c>
      <c r="L161" s="1" t="n">
        <f aca="false">L$2*SIN((PI()*L$1*$A161)/6)</f>
        <v>1.01687091713424E-016</v>
      </c>
      <c r="M161" s="1" t="n">
        <f aca="false">M$2*COS((PI()*M$1*$A161)/6)</f>
        <v>-1.70098742594149E-016</v>
      </c>
      <c r="N161" s="1" t="n">
        <f aca="false">N$2*SIN((PI()*N$1*$A161)/6)</f>
        <v>0.011584</v>
      </c>
      <c r="O161" s="2" t="n">
        <f aca="false">O$2*(-1)^(A161)</f>
        <v>-0.114941</v>
      </c>
      <c r="P161" s="2" t="n">
        <f aca="false">100*LN(C161)</f>
        <v>453.173890790221</v>
      </c>
      <c r="Q161" s="2" t="n">
        <f aca="false">SUM(E161:O161)</f>
        <v>-0.467115000000002</v>
      </c>
      <c r="R161" s="2" t="n">
        <f aca="false">P161-Q161</f>
        <v>453.641005790221</v>
      </c>
      <c r="S161" s="1" t="n">
        <f aca="false">EXP(R161/100)</f>
        <v>93.355058578872</v>
      </c>
      <c r="T161" s="2"/>
      <c r="U161" s="2"/>
      <c r="V161" s="4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L161" s="2"/>
      <c r="AM161" s="5"/>
      <c r="AN161" s="2"/>
      <c r="AO161" s="2"/>
      <c r="AP161" s="2"/>
      <c r="AR161" s="2"/>
      <c r="AS161" s="2"/>
      <c r="AT161" s="2"/>
      <c r="AU161" s="2"/>
      <c r="AW161" s="2"/>
      <c r="AX161" s="2"/>
      <c r="AY161" s="2"/>
      <c r="AZ161" s="2"/>
      <c r="BB161" s="2"/>
      <c r="BC161" s="2"/>
      <c r="BD161" s="2"/>
      <c r="BE161" s="2"/>
    </row>
    <row r="162" customFormat="false" ht="12.8" hidden="false" customHeight="false" outlineLevel="0" collapsed="false">
      <c r="A162" s="2" t="n">
        <v>160</v>
      </c>
      <c r="B162" s="2" t="s">
        <v>166</v>
      </c>
      <c r="C162" s="2" t="n">
        <v>93.774</v>
      </c>
      <c r="D162" s="2" t="n">
        <f aca="false">100*LN(C162)</f>
        <v>454.088763208811</v>
      </c>
      <c r="E162" s="2" t="n">
        <f aca="false">E$2*COS((PI()*E$1*$A162)/6)</f>
        <v>0.0804950000000002</v>
      </c>
      <c r="F162" s="2" t="n">
        <f aca="false">F$2*SIN((PI()*F$1*$A162)/6)</f>
        <v>-0.143999240039661</v>
      </c>
      <c r="G162" s="1" t="n">
        <f aca="false">G$2*COS((PI()*G$1*$A162)/6)</f>
        <v>-0.144634499999999</v>
      </c>
      <c r="H162" s="1" t="n">
        <f aca="false">H$2*SIN((PI()*H$1*$A162)/6)</f>
        <v>0.499983312392275</v>
      </c>
      <c r="I162" s="1" t="n">
        <f aca="false">I$2*COS((PI()*I$1*$A162)/6)</f>
        <v>0.086102</v>
      </c>
      <c r="J162" s="1" t="n">
        <f aca="false">J$2*SIN((PI()*J$1*$A162)/6)</f>
        <v>1.26966953950325E-015</v>
      </c>
      <c r="K162" s="1" t="n">
        <f aca="false">K$2*COS((PI()*K$1*$A162)/6)</f>
        <v>-0.0292830000000003</v>
      </c>
      <c r="L162" s="1" t="n">
        <f aca="false">L$2*SIN((PI()*L$1*$A162)/6)</f>
        <v>-0.0149874356378934</v>
      </c>
      <c r="M162" s="1" t="n">
        <f aca="false">M$2*COS((PI()*M$1*$A162)/6)</f>
        <v>0.00132499999999995</v>
      </c>
      <c r="N162" s="1" t="n">
        <f aca="false">N$2*SIN((PI()*N$1*$A162)/6)</f>
        <v>-0.0100320382774391</v>
      </c>
      <c r="O162" s="2" t="n">
        <f aca="false">O$2*(-1)^(A162)</f>
        <v>0.114941</v>
      </c>
      <c r="P162" s="2" t="n">
        <f aca="false">100*LN(C162)</f>
        <v>454.088763208811</v>
      </c>
      <c r="Q162" s="2" t="n">
        <f aca="false">SUM(E162:O162)</f>
        <v>0.439910098437283</v>
      </c>
      <c r="R162" s="2" t="n">
        <f aca="false">P162-Q162</f>
        <v>453.648853110374</v>
      </c>
      <c r="S162" s="1" t="n">
        <f aca="false">EXP(R162/100)</f>
        <v>93.3623847366476</v>
      </c>
      <c r="T162" s="2"/>
      <c r="U162" s="2"/>
      <c r="V162" s="4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L162" s="2"/>
      <c r="AM162" s="5"/>
      <c r="AN162" s="2"/>
      <c r="AO162" s="2"/>
      <c r="AP162" s="2"/>
      <c r="AR162" s="2"/>
      <c r="AS162" s="2"/>
      <c r="AT162" s="2"/>
      <c r="AU162" s="2"/>
      <c r="AW162" s="2"/>
      <c r="AX162" s="2"/>
      <c r="AY162" s="2"/>
      <c r="AZ162" s="2"/>
      <c r="BB162" s="2"/>
      <c r="BC162" s="2"/>
      <c r="BD162" s="2"/>
      <c r="BE162" s="2"/>
    </row>
    <row r="163" customFormat="false" ht="12.8" hidden="false" customHeight="false" outlineLevel="0" collapsed="false">
      <c r="A163" s="2" t="n">
        <v>161</v>
      </c>
      <c r="B163" s="2" t="s">
        <v>167</v>
      </c>
      <c r="C163" s="2" t="n">
        <v>94.222</v>
      </c>
      <c r="D163" s="2" t="n">
        <f aca="false">100*LN(C163)</f>
        <v>454.565369996234</v>
      </c>
      <c r="E163" s="2" t="n">
        <f aca="false">E$2*COS((PI()*E$1*$A163)/6)</f>
        <v>0.139421429755256</v>
      </c>
      <c r="F163" s="2" t="n">
        <f aca="false">F$2*SIN((PI()*F$1*$A163)/6)</f>
        <v>-0.0831380000000014</v>
      </c>
      <c r="G163" s="1" t="n">
        <f aca="false">G$2*COS((PI()*G$1*$A163)/6)</f>
        <v>0.144634499999995</v>
      </c>
      <c r="H163" s="1" t="n">
        <f aca="false">H$2*SIN((PI()*H$1*$A163)/6)</f>
        <v>0.499983312392279</v>
      </c>
      <c r="I163" s="1" t="n">
        <f aca="false">I$2*COS((PI()*I$1*$A163)/6)</f>
        <v>1.30767216629461E-015</v>
      </c>
      <c r="J163" s="1" t="n">
        <f aca="false">J$2*SIN((PI()*J$1*$A163)/6)</f>
        <v>-0.033221</v>
      </c>
      <c r="K163" s="1" t="n">
        <f aca="false">K$2*COS((PI()*K$1*$A163)/6)</f>
        <v>-0.029283000000002</v>
      </c>
      <c r="L163" s="1" t="n">
        <f aca="false">L$2*SIN((PI()*L$1*$A163)/6)</f>
        <v>0.0149874356378932</v>
      </c>
      <c r="M163" s="1" t="n">
        <f aca="false">M$2*COS((PI()*M$1*$A163)/6)</f>
        <v>-0.00229496732002877</v>
      </c>
      <c r="N163" s="1" t="n">
        <f aca="false">N$2*SIN((PI()*N$1*$A163)/6)</f>
        <v>0.00579199999999994</v>
      </c>
      <c r="O163" s="2" t="n">
        <f aca="false">O$2*(-1)^(A163)</f>
        <v>-0.114941</v>
      </c>
      <c r="P163" s="2" t="n">
        <f aca="false">100*LN(C163)</f>
        <v>454.565369996234</v>
      </c>
      <c r="Q163" s="2" t="n">
        <f aca="false">SUM(E163:O163)</f>
        <v>0.541940710465393</v>
      </c>
      <c r="R163" s="2" t="n">
        <f aca="false">P163-Q163</f>
        <v>454.023429285768</v>
      </c>
      <c r="S163" s="1" t="n">
        <f aca="false">EXP(R163/100)</f>
        <v>93.7127537764647</v>
      </c>
      <c r="T163" s="2"/>
      <c r="U163" s="2"/>
      <c r="V163" s="4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L163" s="2"/>
      <c r="AM163" s="5"/>
      <c r="AN163" s="2"/>
      <c r="AO163" s="2"/>
      <c r="AP163" s="2"/>
      <c r="AR163" s="2"/>
      <c r="AS163" s="2"/>
      <c r="AT163" s="2"/>
      <c r="AU163" s="2"/>
      <c r="AW163" s="2"/>
      <c r="AX163" s="2"/>
      <c r="AY163" s="2"/>
      <c r="AZ163" s="2"/>
      <c r="BB163" s="2"/>
      <c r="BC163" s="2"/>
      <c r="BD163" s="2"/>
      <c r="BE163" s="2"/>
    </row>
    <row r="164" customFormat="false" ht="12.8" hidden="false" customHeight="false" outlineLevel="0" collapsed="false">
      <c r="A164" s="2" t="n">
        <v>162</v>
      </c>
      <c r="B164" s="2" t="s">
        <v>168</v>
      </c>
      <c r="C164" s="2" t="n">
        <v>94.474</v>
      </c>
      <c r="D164" s="2" t="n">
        <f aca="false">100*LN(C164)</f>
        <v>454.832466436874</v>
      </c>
      <c r="E164" s="2" t="n">
        <f aca="false">E$2*COS((PI()*E$1*$A164)/6)</f>
        <v>0.16099</v>
      </c>
      <c r="F164" s="2" t="n">
        <f aca="false">F$2*SIN((PI()*F$1*$A164)/6)</f>
        <v>-1.1405303218288E-015</v>
      </c>
      <c r="G164" s="1" t="n">
        <f aca="false">G$2*COS((PI()*G$1*$A164)/6)</f>
        <v>0.289269</v>
      </c>
      <c r="H164" s="1" t="n">
        <f aca="false">H$2*SIN((PI()*H$1*$A164)/6)</f>
        <v>7.92012691226326E-015</v>
      </c>
      <c r="I164" s="1" t="n">
        <f aca="false">I$2*COS((PI()*I$1*$A164)/6)</f>
        <v>-0.086102</v>
      </c>
      <c r="J164" s="1" t="n">
        <f aca="false">J$2*SIN((PI()*J$1*$A164)/6)</f>
        <v>2.60583175969916E-016</v>
      </c>
      <c r="K164" s="1" t="n">
        <f aca="false">K$2*COS((PI()*K$1*$A164)/6)</f>
        <v>0.058566</v>
      </c>
      <c r="L164" s="1" t="n">
        <f aca="false">L$2*SIN((PI()*L$1*$A164)/6)</f>
        <v>4.74825416766562E-016</v>
      </c>
      <c r="M164" s="1" t="n">
        <f aca="false">M$2*COS((PI()*M$1*$A164)/6)</f>
        <v>0.00265</v>
      </c>
      <c r="N164" s="1" t="n">
        <f aca="false">N$2*SIN((PI()*N$1*$A164)/6)</f>
        <v>3.97288341313985E-016</v>
      </c>
      <c r="O164" s="2" t="n">
        <f aca="false">O$2*(-1)^(A164)</f>
        <v>0.114941</v>
      </c>
      <c r="P164" s="2" t="n">
        <f aca="false">100*LN(C164)</f>
        <v>454.832466436874</v>
      </c>
      <c r="Q164" s="2" t="n">
        <f aca="false">SUM(E164:O164)</f>
        <v>0.540314000000008</v>
      </c>
      <c r="R164" s="2" t="n">
        <f aca="false">P164-Q164</f>
        <v>454.292152436874</v>
      </c>
      <c r="S164" s="1" t="n">
        <f aca="false">EXP(R164/100)</f>
        <v>93.9649203045749</v>
      </c>
      <c r="T164" s="2"/>
      <c r="U164" s="2"/>
      <c r="V164" s="4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L164" s="2"/>
      <c r="AM164" s="5"/>
      <c r="AN164" s="2"/>
      <c r="AO164" s="2"/>
      <c r="AP164" s="2"/>
      <c r="AR164" s="2"/>
      <c r="AS164" s="2"/>
      <c r="AT164" s="2"/>
      <c r="AU164" s="2"/>
      <c r="AW164" s="2"/>
      <c r="AX164" s="2"/>
      <c r="AY164" s="2"/>
      <c r="AZ164" s="2"/>
      <c r="BB164" s="2"/>
      <c r="BC164" s="2"/>
      <c r="BD164" s="2"/>
      <c r="BE164" s="2"/>
    </row>
    <row r="165" customFormat="false" ht="12.8" hidden="false" customHeight="false" outlineLevel="0" collapsed="false">
      <c r="A165" s="2" t="n">
        <v>163</v>
      </c>
      <c r="B165" s="2" t="s">
        <v>169</v>
      </c>
      <c r="C165" s="2" t="n">
        <v>93.597</v>
      </c>
      <c r="D165" s="2" t="n">
        <f aca="false">100*LN(C165)</f>
        <v>453.899833168784</v>
      </c>
      <c r="E165" s="2" t="n">
        <f aca="false">E$2*COS((PI()*E$1*$A165)/6)</f>
        <v>0.139421429755257</v>
      </c>
      <c r="F165" s="2" t="n">
        <f aca="false">F$2*SIN((PI()*F$1*$A165)/6)</f>
        <v>0.0831379999999994</v>
      </c>
      <c r="G165" s="1" t="n">
        <f aca="false">G$2*COS((PI()*G$1*$A165)/6)</f>
        <v>0.144634500000002</v>
      </c>
      <c r="H165" s="1" t="n">
        <f aca="false">H$2*SIN((PI()*H$1*$A165)/6)</f>
        <v>-0.499983312392272</v>
      </c>
      <c r="I165" s="1" t="n">
        <f aca="false">I$2*COS((PI()*I$1*$A165)/6)</f>
        <v>-2.23590387968087E-015</v>
      </c>
      <c r="J165" s="1" t="n">
        <f aca="false">J$2*SIN((PI()*J$1*$A165)/6)</f>
        <v>0.033221</v>
      </c>
      <c r="K165" s="1" t="n">
        <f aca="false">K$2*COS((PI()*K$1*$A165)/6)</f>
        <v>-0.0292829999999992</v>
      </c>
      <c r="L165" s="1" t="n">
        <f aca="false">L$2*SIN((PI()*L$1*$A165)/6)</f>
        <v>-0.0149874356378936</v>
      </c>
      <c r="M165" s="1" t="n">
        <f aca="false">M$2*COS((PI()*M$1*$A165)/6)</f>
        <v>-0.00229496732002876</v>
      </c>
      <c r="N165" s="1" t="n">
        <f aca="false">N$2*SIN((PI()*N$1*$A165)/6)</f>
        <v>-0.00579200000000005</v>
      </c>
      <c r="O165" s="2" t="n">
        <f aca="false">O$2*(-1)^(A165)</f>
        <v>-0.114941</v>
      </c>
      <c r="P165" s="2" t="n">
        <f aca="false">100*LN(C165)</f>
        <v>453.899833168784</v>
      </c>
      <c r="Q165" s="2" t="n">
        <f aca="false">SUM(E165:O165)</f>
        <v>-0.266866785594937</v>
      </c>
      <c r="R165" s="2" t="n">
        <f aca="false">P165-Q165</f>
        <v>454.166699954379</v>
      </c>
      <c r="S165" s="1" t="n">
        <f aca="false">EXP(R165/100)</f>
        <v>93.847112890992</v>
      </c>
      <c r="T165" s="2"/>
      <c r="U165" s="2"/>
      <c r="V165" s="4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L165" s="2"/>
      <c r="AM165" s="5"/>
      <c r="AN165" s="2"/>
      <c r="AO165" s="2"/>
      <c r="AP165" s="2"/>
      <c r="AR165" s="2"/>
      <c r="AS165" s="2"/>
      <c r="AT165" s="2"/>
      <c r="AU165" s="2"/>
      <c r="AW165" s="2"/>
      <c r="AX165" s="2"/>
      <c r="AY165" s="2"/>
      <c r="AZ165" s="2"/>
      <c r="BB165" s="2"/>
      <c r="BC165" s="2"/>
      <c r="BD165" s="2"/>
      <c r="BE165" s="2"/>
    </row>
    <row r="166" customFormat="false" ht="12.8" hidden="false" customHeight="false" outlineLevel="0" collapsed="false">
      <c r="A166" s="2" t="n">
        <v>164</v>
      </c>
      <c r="B166" s="2" t="s">
        <v>170</v>
      </c>
      <c r="C166" s="2" t="n">
        <v>93.286</v>
      </c>
      <c r="D166" s="2" t="n">
        <f aca="false">100*LN(C166)</f>
        <v>453.567004300356</v>
      </c>
      <c r="E166" s="2" t="n">
        <f aca="false">E$2*COS((PI()*E$1*$A166)/6)</f>
        <v>0.0804950000000021</v>
      </c>
      <c r="F166" s="2" t="n">
        <f aca="false">F$2*SIN((PI()*F$1*$A166)/6)</f>
        <v>0.14399924003966</v>
      </c>
      <c r="G166" s="1" t="n">
        <f aca="false">G$2*COS((PI()*G$1*$A166)/6)</f>
        <v>-0.144634499999992</v>
      </c>
      <c r="H166" s="1" t="n">
        <f aca="false">H$2*SIN((PI()*H$1*$A166)/6)</f>
        <v>-0.499983312392283</v>
      </c>
      <c r="I166" s="1" t="n">
        <f aca="false">I$2*COS((PI()*I$1*$A166)/6)</f>
        <v>0.086102</v>
      </c>
      <c r="J166" s="1" t="n">
        <f aca="false">J$2*SIN((PI()*J$1*$A166)/6)</f>
        <v>1.04175693551928E-015</v>
      </c>
      <c r="K166" s="1" t="n">
        <f aca="false">K$2*COS((PI()*K$1*$A166)/6)</f>
        <v>-0.0292830000000031</v>
      </c>
      <c r="L166" s="1" t="n">
        <f aca="false">L$2*SIN((PI()*L$1*$A166)/6)</f>
        <v>0.014987435637893</v>
      </c>
      <c r="M166" s="1" t="n">
        <f aca="false">M$2*COS((PI()*M$1*$A166)/6)</f>
        <v>0.00132499999999992</v>
      </c>
      <c r="N166" s="1" t="n">
        <f aca="false">N$2*SIN((PI()*N$1*$A166)/6)</f>
        <v>0.0100320382774391</v>
      </c>
      <c r="O166" s="2" t="n">
        <f aca="false">O$2*(-1)^(A166)</f>
        <v>0.114941</v>
      </c>
      <c r="P166" s="2" t="n">
        <f aca="false">100*LN(C166)</f>
        <v>453.567004300356</v>
      </c>
      <c r="Q166" s="2" t="n">
        <f aca="false">SUM(E166:O166)</f>
        <v>-0.222019098437283</v>
      </c>
      <c r="R166" s="2" t="n">
        <f aca="false">P166-Q166</f>
        <v>453.789023398794</v>
      </c>
      <c r="S166" s="1" t="n">
        <f aca="false">EXP(R166/100)</f>
        <v>93.4933428213292</v>
      </c>
      <c r="T166" s="2"/>
      <c r="U166" s="2"/>
      <c r="V166" s="4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L166" s="2"/>
      <c r="AM166" s="5"/>
      <c r="AN166" s="2"/>
      <c r="AO166" s="2"/>
      <c r="AP166" s="2"/>
      <c r="AR166" s="2"/>
      <c r="AS166" s="2"/>
      <c r="AT166" s="2"/>
      <c r="AU166" s="2"/>
      <c r="AW166" s="2"/>
      <c r="AX166" s="2"/>
      <c r="AY166" s="2"/>
      <c r="AZ166" s="2"/>
      <c r="BB166" s="2"/>
      <c r="BC166" s="2"/>
      <c r="BD166" s="2"/>
      <c r="BE166" s="2"/>
    </row>
    <row r="167" customFormat="false" ht="12.8" hidden="false" customHeight="false" outlineLevel="0" collapsed="false">
      <c r="A167" s="2" t="n">
        <v>165</v>
      </c>
      <c r="B167" s="2" t="s">
        <v>171</v>
      </c>
      <c r="C167" s="2" t="n">
        <v>92.999</v>
      </c>
      <c r="D167" s="2" t="n">
        <f aca="false">100*LN(C167)</f>
        <v>453.258874040727</v>
      </c>
      <c r="E167" s="2" t="n">
        <f aca="false">E$2*COS((PI()*E$1*$A167)/6)</f>
        <v>1.97205713041075E-015</v>
      </c>
      <c r="F167" s="2" t="n">
        <f aca="false">F$2*SIN((PI()*F$1*$A167)/6)</f>
        <v>0.166276</v>
      </c>
      <c r="G167" s="1" t="n">
        <f aca="false">G$2*COS((PI()*G$1*$A167)/6)</f>
        <v>-0.289269</v>
      </c>
      <c r="H167" s="1" t="n">
        <f aca="false">H$2*SIN((PI()*H$1*$A167)/6)</f>
        <v>-1.41441047910698E-014</v>
      </c>
      <c r="I167" s="1" t="n">
        <f aca="false">I$2*COS((PI()*I$1*$A167)/6)</f>
        <v>-1.73019645768616E-015</v>
      </c>
      <c r="J167" s="1" t="n">
        <f aca="false">J$2*SIN((PI()*J$1*$A167)/6)</f>
        <v>-0.033221</v>
      </c>
      <c r="K167" s="1" t="n">
        <f aca="false">K$2*COS((PI()*K$1*$A167)/6)</f>
        <v>0.058566</v>
      </c>
      <c r="L167" s="1" t="n">
        <f aca="false">L$2*SIN((PI()*L$1*$A167)/6)</f>
        <v>8.479637418197E-016</v>
      </c>
      <c r="M167" s="1" t="n">
        <f aca="false">M$2*COS((PI()*M$1*$A167)/6)</f>
        <v>1.1671648373057E-017</v>
      </c>
      <c r="N167" s="1" t="n">
        <f aca="false">N$2*SIN((PI()*N$1*$A167)/6)</f>
        <v>-0.011584</v>
      </c>
      <c r="O167" s="2" t="n">
        <f aca="false">O$2*(-1)^(A167)</f>
        <v>-0.114941</v>
      </c>
      <c r="P167" s="2" t="n">
        <f aca="false">100*LN(C167)</f>
        <v>453.258874040727</v>
      </c>
      <c r="Q167" s="2" t="n">
        <f aca="false">SUM(E167:O167)</f>
        <v>-0.224173000000013</v>
      </c>
      <c r="R167" s="2" t="n">
        <f aca="false">P167-Q167</f>
        <v>453.483047040727</v>
      </c>
      <c r="S167" s="1" t="n">
        <f aca="false">EXP(R167/100)</f>
        <v>93.2077124994011</v>
      </c>
      <c r="T167" s="2"/>
      <c r="U167" s="2"/>
      <c r="V167" s="4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L167" s="2"/>
      <c r="AM167" s="5"/>
      <c r="AN167" s="2"/>
      <c r="AO167" s="2"/>
      <c r="AP167" s="2"/>
      <c r="AR167" s="2"/>
      <c r="AS167" s="2"/>
      <c r="AT167" s="2"/>
      <c r="AU167" s="2"/>
      <c r="AW167" s="2"/>
      <c r="AX167" s="2"/>
      <c r="AY167" s="2"/>
      <c r="AZ167" s="2"/>
      <c r="BB167" s="2"/>
      <c r="BC167" s="2"/>
      <c r="BD167" s="2"/>
      <c r="BE167" s="2"/>
    </row>
    <row r="168" customFormat="false" ht="12.8" hidden="false" customHeight="false" outlineLevel="0" collapsed="false">
      <c r="A168" s="2" t="n">
        <v>166</v>
      </c>
      <c r="B168" s="2" t="s">
        <v>172</v>
      </c>
      <c r="C168" s="2" t="n">
        <v>93.595</v>
      </c>
      <c r="D168" s="2" t="n">
        <f aca="false">100*LN(C168)</f>
        <v>453.897696325329</v>
      </c>
      <c r="E168" s="2" t="n">
        <f aca="false">E$2*COS((PI()*E$1*$A168)/6)</f>
        <v>-0.0804950000000007</v>
      </c>
      <c r="F168" s="2" t="n">
        <f aca="false">F$2*SIN((PI()*F$1*$A168)/6)</f>
        <v>0.143999240039661</v>
      </c>
      <c r="G168" s="1" t="n">
        <f aca="false">G$2*COS((PI()*G$1*$A168)/6)</f>
        <v>-0.144634499999998</v>
      </c>
      <c r="H168" s="1" t="n">
        <f aca="false">H$2*SIN((PI()*H$1*$A168)/6)</f>
        <v>0.499983312392277</v>
      </c>
      <c r="I168" s="1" t="n">
        <f aca="false">I$2*COS((PI()*I$1*$A168)/6)</f>
        <v>-0.086102</v>
      </c>
      <c r="J168" s="1" t="n">
        <f aca="false">J$2*SIN((PI()*J$1*$A168)/6)</f>
        <v>-1.39989943802102E-015</v>
      </c>
      <c r="K168" s="1" t="n">
        <f aca="false">K$2*COS((PI()*K$1*$A168)/6)</f>
        <v>-0.029283000000001</v>
      </c>
      <c r="L168" s="1" t="n">
        <f aca="false">L$2*SIN((PI()*L$1*$A168)/6)</f>
        <v>-0.0149874356378933</v>
      </c>
      <c r="M168" s="1" t="n">
        <f aca="false">M$2*COS((PI()*M$1*$A168)/6)</f>
        <v>-0.00132500000000007</v>
      </c>
      <c r="N168" s="1" t="n">
        <f aca="false">N$2*SIN((PI()*N$1*$A168)/6)</f>
        <v>0.0100320382774388</v>
      </c>
      <c r="O168" s="2" t="n">
        <f aca="false">O$2*(-1)^(A168)</f>
        <v>0.114941</v>
      </c>
      <c r="P168" s="2" t="n">
        <f aca="false">100*LN(C168)</f>
        <v>453.897696325329</v>
      </c>
      <c r="Q168" s="2" t="n">
        <f aca="false">SUM(E168:O168)</f>
        <v>0.412128655071482</v>
      </c>
      <c r="R168" s="2" t="n">
        <f aca="false">P168-Q168</f>
        <v>453.485567670258</v>
      </c>
      <c r="S168" s="1" t="n">
        <f aca="false">EXP(R168/100)</f>
        <v>93.2100619501374</v>
      </c>
      <c r="T168" s="2"/>
      <c r="U168" s="2"/>
      <c r="V168" s="4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L168" s="2"/>
      <c r="AM168" s="5"/>
      <c r="AN168" s="2"/>
      <c r="AO168" s="2"/>
      <c r="AP168" s="2"/>
      <c r="AR168" s="2"/>
      <c r="AS168" s="2"/>
      <c r="AT168" s="2"/>
      <c r="AU168" s="2"/>
      <c r="AW168" s="2"/>
      <c r="AX168" s="2"/>
      <c r="AY168" s="2"/>
      <c r="AZ168" s="2"/>
      <c r="BB168" s="2"/>
      <c r="BC168" s="2"/>
      <c r="BD168" s="2"/>
      <c r="BE168" s="2"/>
    </row>
    <row r="169" customFormat="false" ht="12.8" hidden="false" customHeight="false" outlineLevel="0" collapsed="false">
      <c r="A169" s="2" t="n">
        <v>167</v>
      </c>
      <c r="B169" s="2" t="s">
        <v>173</v>
      </c>
      <c r="C169" s="2" t="n">
        <v>93.937</v>
      </c>
      <c r="D169" s="2" t="n">
        <f aca="false">100*LN(C169)</f>
        <v>454.262434481107</v>
      </c>
      <c r="E169" s="2" t="n">
        <f aca="false">E$2*COS((PI()*E$1*$A169)/6)</f>
        <v>-0.139421429755257</v>
      </c>
      <c r="F169" s="2" t="n">
        <f aca="false">F$2*SIN((PI()*F$1*$A169)/6)</f>
        <v>0.0831379999999989</v>
      </c>
      <c r="G169" s="1" t="n">
        <f aca="false">G$2*COS((PI()*G$1*$A169)/6)</f>
        <v>0.144634500000004</v>
      </c>
      <c r="H169" s="1" t="n">
        <f aca="false">H$2*SIN((PI()*H$1*$A169)/6)</f>
        <v>0.499983312392269</v>
      </c>
      <c r="I169" s="1" t="n">
        <f aca="false">I$2*COS((PI()*I$1*$A169)/6)</f>
        <v>8.01964744299896E-016</v>
      </c>
      <c r="J169" s="1" t="n">
        <f aca="false">J$2*SIN((PI()*J$1*$A169)/6)</f>
        <v>0.033221</v>
      </c>
      <c r="K169" s="1" t="n">
        <f aca="false">K$2*COS((PI()*K$1*$A169)/6)</f>
        <v>-0.0292829999999984</v>
      </c>
      <c r="L169" s="1" t="n">
        <f aca="false">L$2*SIN((PI()*L$1*$A169)/6)</f>
        <v>0.0149874356378938</v>
      </c>
      <c r="M169" s="1" t="n">
        <f aca="false">M$2*COS((PI()*M$1*$A169)/6)</f>
        <v>0.00229496732002884</v>
      </c>
      <c r="N169" s="1" t="n">
        <f aca="false">N$2*SIN((PI()*N$1*$A169)/6)</f>
        <v>-0.0057919999999994</v>
      </c>
      <c r="O169" s="2" t="n">
        <f aca="false">O$2*(-1)^(A169)</f>
        <v>-0.114941</v>
      </c>
      <c r="P169" s="2" t="n">
        <f aca="false">100*LN(C169)</f>
        <v>454.262434481107</v>
      </c>
      <c r="Q169" s="2" t="n">
        <f aca="false">SUM(E169:O169)</f>
        <v>0.48882178559494</v>
      </c>
      <c r="R169" s="2" t="n">
        <f aca="false">P169-Q169</f>
        <v>453.773612695512</v>
      </c>
      <c r="S169" s="1" t="n">
        <f aca="false">EXP(R169/100)</f>
        <v>93.4789359498076</v>
      </c>
      <c r="T169" s="2"/>
      <c r="U169" s="2"/>
      <c r="V169" s="4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L169" s="2"/>
      <c r="AM169" s="5"/>
      <c r="AN169" s="2"/>
      <c r="AO169" s="2"/>
      <c r="AP169" s="2"/>
      <c r="AR169" s="2"/>
      <c r="AS169" s="2"/>
      <c r="AT169" s="2"/>
      <c r="AU169" s="2"/>
      <c r="AW169" s="2"/>
      <c r="AX169" s="2"/>
      <c r="AY169" s="2"/>
      <c r="AZ169" s="2"/>
      <c r="BB169" s="2"/>
      <c r="BC169" s="2"/>
      <c r="BD169" s="2"/>
      <c r="BE169" s="2"/>
    </row>
    <row r="170" customFormat="false" ht="12.8" hidden="false" customHeight="false" outlineLevel="0" collapsed="false">
      <c r="A170" s="2" t="n">
        <v>168</v>
      </c>
      <c r="B170" s="2" t="s">
        <v>174</v>
      </c>
      <c r="C170" s="2" t="n">
        <v>93.663</v>
      </c>
      <c r="D170" s="2" t="n">
        <f aca="false">100*LN(C170)</f>
        <v>453.970323399194</v>
      </c>
      <c r="E170" s="2" t="n">
        <f aca="false">E$2*COS((PI()*E$1*$A170)/6)</f>
        <v>-0.16099</v>
      </c>
      <c r="F170" s="2" t="n">
        <f aca="false">F$2*SIN((PI()*F$1*$A170)/6)</f>
        <v>5.70162239290071E-016</v>
      </c>
      <c r="G170" s="1" t="n">
        <f aca="false">G$2*COS((PI()*G$1*$A170)/6)</f>
        <v>0.289269</v>
      </c>
      <c r="H170" s="1" t="n">
        <f aca="false">H$2*SIN((PI()*H$1*$A170)/6)</f>
        <v>3.95934874271183E-015</v>
      </c>
      <c r="I170" s="1" t="n">
        <f aca="false">I$2*COS((PI()*I$1*$A170)/6)</f>
        <v>0.086102</v>
      </c>
      <c r="J170" s="1" t="n">
        <f aca="false">J$2*SIN((PI()*J$1*$A170)/6)</f>
        <v>-1.30353277452142E-016</v>
      </c>
      <c r="K170" s="1" t="n">
        <f aca="false">K$2*COS((PI()*K$1*$A170)/6)</f>
        <v>0.058566</v>
      </c>
      <c r="L170" s="1" t="n">
        <f aca="false">L$2*SIN((PI()*L$1*$A170)/6)</f>
        <v>2.37369860067694E-016</v>
      </c>
      <c r="M170" s="1" t="n">
        <f aca="false">M$2*COS((PI()*M$1*$A170)/6)</f>
        <v>-0.00265</v>
      </c>
      <c r="N170" s="1" t="n">
        <f aca="false">N$2*SIN((PI()*N$1*$A170)/6)</f>
        <v>2.95247303764179E-016</v>
      </c>
      <c r="O170" s="2" t="n">
        <f aca="false">O$2*(-1)^(A170)</f>
        <v>0.114941</v>
      </c>
      <c r="P170" s="2" t="n">
        <f aca="false">100*LN(C170)</f>
        <v>453.970323399194</v>
      </c>
      <c r="Q170" s="2" t="n">
        <f aca="false">SUM(E170:O170)</f>
        <v>0.385238000000005</v>
      </c>
      <c r="R170" s="2" t="n">
        <f aca="false">P170-Q170</f>
        <v>453.585085399194</v>
      </c>
      <c r="S170" s="1" t="n">
        <f aca="false">EXP(R170/100)</f>
        <v>93.3028686588353</v>
      </c>
      <c r="T170" s="2"/>
      <c r="U170" s="2"/>
      <c r="V170" s="4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L170" s="2"/>
      <c r="AM170" s="5"/>
      <c r="AN170" s="2"/>
      <c r="AO170" s="2"/>
      <c r="AP170" s="2"/>
      <c r="AR170" s="2"/>
      <c r="AS170" s="2"/>
      <c r="AT170" s="2"/>
      <c r="AU170" s="2"/>
      <c r="AW170" s="2"/>
      <c r="AX170" s="2"/>
      <c r="AY170" s="2"/>
      <c r="AZ170" s="2"/>
      <c r="BB170" s="2"/>
      <c r="BC170" s="2"/>
      <c r="BD170" s="2"/>
      <c r="BE170" s="2"/>
    </row>
    <row r="171" customFormat="false" ht="12.8" hidden="false" customHeight="false" outlineLevel="0" collapsed="false">
      <c r="A171" s="2" t="n">
        <v>169</v>
      </c>
      <c r="B171" s="2" t="s">
        <v>175</v>
      </c>
      <c r="C171" s="2" t="n">
        <v>91.876</v>
      </c>
      <c r="D171" s="2" t="n">
        <f aca="false">100*LN(C171)</f>
        <v>452.043984182751</v>
      </c>
      <c r="E171" s="2" t="n">
        <f aca="false">E$2*COS((PI()*E$1*$A171)/6)</f>
        <v>-0.139421429755257</v>
      </c>
      <c r="F171" s="2" t="n">
        <f aca="false">F$2*SIN((PI()*F$1*$A171)/6)</f>
        <v>-0.0831379999999999</v>
      </c>
      <c r="G171" s="1" t="n">
        <f aca="false">G$2*COS((PI()*G$1*$A171)/6)</f>
        <v>0.1446345</v>
      </c>
      <c r="H171" s="1" t="n">
        <f aca="false">H$2*SIN((PI()*H$1*$A171)/6)</f>
        <v>-0.499983312392274</v>
      </c>
      <c r="I171" s="1" t="n">
        <f aca="false">I$2*COS((PI()*I$1*$A171)/6)</f>
        <v>1.26266969086365E-016</v>
      </c>
      <c r="J171" s="1" t="n">
        <f aca="false">J$2*SIN((PI()*J$1*$A171)/6)</f>
        <v>-0.033221</v>
      </c>
      <c r="K171" s="1" t="n">
        <f aca="false">K$2*COS((PI()*K$1*$A171)/6)</f>
        <v>-0.0292829999999999</v>
      </c>
      <c r="L171" s="1" t="n">
        <f aca="false">L$2*SIN((PI()*L$1*$A171)/6)</f>
        <v>-0.0149874356378935</v>
      </c>
      <c r="M171" s="1" t="n">
        <f aca="false">M$2*COS((PI()*M$1*$A171)/6)</f>
        <v>0.00229496732002876</v>
      </c>
      <c r="N171" s="1" t="n">
        <f aca="false">N$2*SIN((PI()*N$1*$A171)/6)</f>
        <v>0.00579200000000002</v>
      </c>
      <c r="O171" s="2" t="n">
        <f aca="false">O$2*(-1)^(A171)</f>
        <v>-0.114941</v>
      </c>
      <c r="P171" s="2" t="n">
        <f aca="false">100*LN(C171)</f>
        <v>452.043984182751</v>
      </c>
      <c r="Q171" s="2" t="n">
        <f aca="false">SUM(E171:O171)</f>
        <v>-0.762253710465395</v>
      </c>
      <c r="R171" s="2" t="n">
        <f aca="false">P171-Q171</f>
        <v>452.806237893216</v>
      </c>
      <c r="S171" s="1" t="n">
        <f aca="false">EXP(R171/100)</f>
        <v>92.5790041527583</v>
      </c>
      <c r="T171" s="2"/>
      <c r="U171" s="2"/>
      <c r="V171" s="4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L171" s="2"/>
      <c r="AM171" s="5"/>
      <c r="AN171" s="2"/>
      <c r="AO171" s="2"/>
      <c r="AP171" s="2"/>
      <c r="AR171" s="2"/>
      <c r="AS171" s="2"/>
      <c r="AT171" s="2"/>
      <c r="AU171" s="2"/>
      <c r="AW171" s="2"/>
      <c r="AX171" s="2"/>
      <c r="AY171" s="2"/>
      <c r="AZ171" s="2"/>
      <c r="BB171" s="2"/>
      <c r="BC171" s="2"/>
      <c r="BD171" s="2"/>
      <c r="BE171" s="2"/>
    </row>
    <row r="172" customFormat="false" ht="12.8" hidden="false" customHeight="false" outlineLevel="0" collapsed="false">
      <c r="A172" s="2" t="n">
        <v>170</v>
      </c>
      <c r="B172" s="2" t="s">
        <v>176</v>
      </c>
      <c r="C172" s="2" t="n">
        <v>91.552</v>
      </c>
      <c r="D172" s="2" t="n">
        <f aca="false">100*LN(C172)</f>
        <v>451.69071168677</v>
      </c>
      <c r="E172" s="2" t="n">
        <f aca="false">E$2*COS((PI()*E$1*$A172)/6)</f>
        <v>-0.0804949999999997</v>
      </c>
      <c r="F172" s="2" t="n">
        <f aca="false">F$2*SIN((PI()*F$1*$A172)/6)</f>
        <v>-0.143999240039662</v>
      </c>
      <c r="G172" s="1" t="n">
        <f aca="false">G$2*COS((PI()*G$1*$A172)/6)</f>
        <v>-0.144634500000001</v>
      </c>
      <c r="H172" s="1" t="n">
        <f aca="false">H$2*SIN((PI()*H$1*$A172)/6)</f>
        <v>-0.499983312392272</v>
      </c>
      <c r="I172" s="1" t="n">
        <f aca="false">I$2*COS((PI()*I$1*$A172)/6)</f>
        <v>-0.086102</v>
      </c>
      <c r="J172" s="1" t="n">
        <f aca="false">J$2*SIN((PI()*J$1*$A172)/6)</f>
        <v>-2.27789225049599E-016</v>
      </c>
      <c r="K172" s="1" t="n">
        <f aca="false">K$2*COS((PI()*K$1*$A172)/6)</f>
        <v>-0.0292829999999995</v>
      </c>
      <c r="L172" s="1" t="n">
        <f aca="false">L$2*SIN((PI()*L$1*$A172)/6)</f>
        <v>0.0149874356378936</v>
      </c>
      <c r="M172" s="1" t="n">
        <f aca="false">M$2*COS((PI()*M$1*$A172)/6)</f>
        <v>-0.00132499999999993</v>
      </c>
      <c r="N172" s="1" t="n">
        <f aca="false">N$2*SIN((PI()*N$1*$A172)/6)</f>
        <v>-0.0100320382774391</v>
      </c>
      <c r="O172" s="2" t="n">
        <f aca="false">O$2*(-1)^(A172)</f>
        <v>0.114941</v>
      </c>
      <c r="P172" s="2" t="n">
        <f aca="false">100*LN(C172)</f>
        <v>451.69071168677</v>
      </c>
      <c r="Q172" s="2" t="n">
        <f aca="false">SUM(E172:O172)</f>
        <v>-0.86592565507148</v>
      </c>
      <c r="R172" s="2" t="n">
        <f aca="false">P172-Q172</f>
        <v>452.556637341842</v>
      </c>
      <c r="S172" s="1" t="n">
        <f aca="false">EXP(R172/100)</f>
        <v>92.3482145937608</v>
      </c>
      <c r="T172" s="2"/>
      <c r="U172" s="2"/>
      <c r="V172" s="4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L172" s="2"/>
      <c r="AM172" s="5"/>
      <c r="AN172" s="2"/>
      <c r="AO172" s="2"/>
      <c r="AP172" s="2"/>
      <c r="AR172" s="2"/>
      <c r="AS172" s="2"/>
      <c r="AT172" s="2"/>
      <c r="AU172" s="2"/>
      <c r="AW172" s="2"/>
      <c r="AX172" s="2"/>
      <c r="AY172" s="2"/>
      <c r="AZ172" s="2"/>
      <c r="BB172" s="2"/>
      <c r="BC172" s="2"/>
      <c r="BD172" s="2"/>
      <c r="BE172" s="2"/>
    </row>
    <row r="173" customFormat="false" ht="12.8" hidden="false" customHeight="false" outlineLevel="0" collapsed="false">
      <c r="A173" s="2" t="n">
        <v>171</v>
      </c>
      <c r="B173" s="2" t="s">
        <v>177</v>
      </c>
      <c r="C173" s="2" t="n">
        <v>92.139</v>
      </c>
      <c r="D173" s="2" t="n">
        <f aca="false">100*LN(C173)</f>
        <v>452.329830639917</v>
      </c>
      <c r="E173" s="2" t="n">
        <f aca="false">E$2*COS((PI()*E$1*$A173)/6)</f>
        <v>-1.41982134408013E-015</v>
      </c>
      <c r="F173" s="2" t="n">
        <f aca="false">F$2*SIN((PI()*F$1*$A173)/6)</f>
        <v>-0.166276</v>
      </c>
      <c r="G173" s="1" t="n">
        <f aca="false">G$2*COS((PI()*G$1*$A173)/6)</f>
        <v>-0.289269</v>
      </c>
      <c r="H173" s="1" t="n">
        <f aca="false">H$2*SIN((PI()*H$1*$A173)/6)</f>
        <v>-1.01833266215184E-014</v>
      </c>
      <c r="I173" s="1" t="n">
        <f aca="false">I$2*COS((PI()*I$1*$A173)/6)</f>
        <v>-1.05449868247263E-015</v>
      </c>
      <c r="J173" s="1" t="n">
        <f aca="false">J$2*SIN((PI()*J$1*$A173)/6)</f>
        <v>0.033221</v>
      </c>
      <c r="K173" s="1" t="n">
        <f aca="false">K$2*COS((PI()*K$1*$A173)/6)</f>
        <v>0.058566</v>
      </c>
      <c r="L173" s="1" t="n">
        <f aca="false">L$2*SIN((PI()*L$1*$A173)/6)</f>
        <v>6.10508185120832E-016</v>
      </c>
      <c r="M173" s="1" t="n">
        <f aca="false">M$2*COS((PI()*M$1*$A173)/6)</f>
        <v>-3.87961413310595E-018</v>
      </c>
      <c r="N173" s="1" t="n">
        <f aca="false">N$2*SIN((PI()*N$1*$A173)/6)</f>
        <v>0.011584</v>
      </c>
      <c r="O173" s="2" t="n">
        <f aca="false">O$2*(-1)^(A173)</f>
        <v>-0.114941</v>
      </c>
      <c r="P173" s="2" t="n">
        <f aca="false">100*LN(C173)</f>
        <v>452.329830639917</v>
      </c>
      <c r="Q173" s="2" t="n">
        <f aca="false">SUM(E173:O173)</f>
        <v>-0.467115000000012</v>
      </c>
      <c r="R173" s="2" t="n">
        <f aca="false">P173-Q173</f>
        <v>452.796945639917</v>
      </c>
      <c r="S173" s="1" t="n">
        <f aca="false">EXP(R173/100)</f>
        <v>92.5704018768693</v>
      </c>
      <c r="T173" s="2"/>
      <c r="U173" s="2"/>
      <c r="V173" s="4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L173" s="2"/>
      <c r="AM173" s="5"/>
      <c r="AN173" s="2"/>
      <c r="AO173" s="2"/>
      <c r="AP173" s="2"/>
      <c r="AR173" s="2"/>
      <c r="AS173" s="2"/>
      <c r="AT173" s="2"/>
      <c r="AU173" s="2"/>
      <c r="AW173" s="2"/>
      <c r="AX173" s="2"/>
      <c r="AY173" s="2"/>
      <c r="AZ173" s="2"/>
      <c r="BB173" s="2"/>
      <c r="BC173" s="2"/>
      <c r="BD173" s="2"/>
      <c r="BE173" s="2"/>
    </row>
    <row r="174" customFormat="false" ht="12.8" hidden="false" customHeight="false" outlineLevel="0" collapsed="false">
      <c r="A174" s="2" t="n">
        <v>172</v>
      </c>
      <c r="B174" s="2" t="s">
        <v>178</v>
      </c>
      <c r="C174" s="2" t="n">
        <v>92.785</v>
      </c>
      <c r="D174" s="2" t="n">
        <f aca="false">100*LN(C174)</f>
        <v>453.02849887963</v>
      </c>
      <c r="E174" s="2" t="n">
        <f aca="false">E$2*COS((PI()*E$1*$A174)/6)</f>
        <v>0.0804949999999992</v>
      </c>
      <c r="F174" s="2" t="n">
        <f aca="false">F$2*SIN((PI()*F$1*$A174)/6)</f>
        <v>-0.143999240039662</v>
      </c>
      <c r="G174" s="1" t="n">
        <f aca="false">G$2*COS((PI()*G$1*$A174)/6)</f>
        <v>-0.144634500000003</v>
      </c>
      <c r="H174" s="1" t="n">
        <f aca="false">H$2*SIN((PI()*H$1*$A174)/6)</f>
        <v>0.49998331239227</v>
      </c>
      <c r="I174" s="1" t="n">
        <f aca="false">I$2*COS((PI()*I$1*$A174)/6)</f>
        <v>0.086102</v>
      </c>
      <c r="J174" s="1" t="n">
        <f aca="false">J$2*SIN((PI()*J$1*$A174)/6)</f>
        <v>5.85931727551341E-016</v>
      </c>
      <c r="K174" s="1" t="n">
        <f aca="false">K$2*COS((PI()*K$1*$A174)/6)</f>
        <v>-0.0292829999999988</v>
      </c>
      <c r="L174" s="1" t="n">
        <f aca="false">L$2*SIN((PI()*L$1*$A174)/6)</f>
        <v>-0.0149874356378937</v>
      </c>
      <c r="M174" s="1" t="n">
        <f aca="false">M$2*COS((PI()*M$1*$A174)/6)</f>
        <v>0.00132500000000007</v>
      </c>
      <c r="N174" s="1" t="n">
        <f aca="false">N$2*SIN((PI()*N$1*$A174)/6)</f>
        <v>-0.0100320382774388</v>
      </c>
      <c r="O174" s="2" t="n">
        <f aca="false">O$2*(-1)^(A174)</f>
        <v>0.114941</v>
      </c>
      <c r="P174" s="2" t="n">
        <f aca="false">100*LN(C174)</f>
        <v>453.02849887963</v>
      </c>
      <c r="Q174" s="2" t="n">
        <f aca="false">SUM(E174:O174)</f>
        <v>0.439910098437274</v>
      </c>
      <c r="R174" s="2" t="n">
        <f aca="false">P174-Q174</f>
        <v>452.588588781193</v>
      </c>
      <c r="S174" s="1" t="n">
        <f aca="false">EXP(R174/100)</f>
        <v>92.37772589193</v>
      </c>
      <c r="T174" s="2"/>
      <c r="U174" s="2"/>
      <c r="V174" s="4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L174" s="2"/>
      <c r="AM174" s="5"/>
      <c r="AN174" s="2"/>
      <c r="AO174" s="2"/>
      <c r="AP174" s="2"/>
      <c r="AR174" s="2"/>
      <c r="AS174" s="2"/>
      <c r="AT174" s="2"/>
      <c r="AU174" s="2"/>
      <c r="AW174" s="2"/>
      <c r="AX174" s="2"/>
      <c r="AY174" s="2"/>
      <c r="AZ174" s="2"/>
      <c r="BB174" s="2"/>
      <c r="BC174" s="2"/>
      <c r="BD174" s="2"/>
      <c r="BE174" s="2"/>
    </row>
    <row r="175" customFormat="false" ht="12.8" hidden="false" customHeight="false" outlineLevel="0" collapsed="false">
      <c r="A175" s="2" t="n">
        <v>173</v>
      </c>
      <c r="B175" s="2" t="s">
        <v>179</v>
      </c>
      <c r="C175" s="2" t="n">
        <v>93.292</v>
      </c>
      <c r="D175" s="2" t="n">
        <f aca="false">100*LN(C175)</f>
        <v>453.57343592681</v>
      </c>
      <c r="E175" s="2" t="n">
        <f aca="false">E$2*COS((PI()*E$1*$A175)/6)</f>
        <v>0.139421429755257</v>
      </c>
      <c r="F175" s="2" t="n">
        <f aca="false">F$2*SIN((PI()*F$1*$A175)/6)</f>
        <v>-0.0831380000000004</v>
      </c>
      <c r="G175" s="1" t="n">
        <f aca="false">G$2*COS((PI()*G$1*$A175)/6)</f>
        <v>0.144634499999999</v>
      </c>
      <c r="H175" s="1" t="n">
        <f aca="false">H$2*SIN((PI()*H$1*$A175)/6)</f>
        <v>0.499983312392276</v>
      </c>
      <c r="I175" s="1" t="n">
        <f aca="false">I$2*COS((PI()*I$1*$A175)/6)</f>
        <v>1.98273039585889E-015</v>
      </c>
      <c r="J175" s="1" t="n">
        <f aca="false">J$2*SIN((PI()*J$1*$A175)/6)</f>
        <v>-0.033221</v>
      </c>
      <c r="K175" s="1" t="n">
        <f aca="false">K$2*COS((PI()*K$1*$A175)/6)</f>
        <v>-0.0292830000000006</v>
      </c>
      <c r="L175" s="1" t="n">
        <f aca="false">L$2*SIN((PI()*L$1*$A175)/6)</f>
        <v>0.0149874356378934</v>
      </c>
      <c r="M175" s="1" t="n">
        <f aca="false">M$2*COS((PI()*M$1*$A175)/6)</f>
        <v>-0.00229496732002876</v>
      </c>
      <c r="N175" s="1" t="n">
        <f aca="false">N$2*SIN((PI()*N$1*$A175)/6)</f>
        <v>0.005792</v>
      </c>
      <c r="O175" s="2" t="n">
        <f aca="false">O$2*(-1)^(A175)</f>
        <v>-0.114941</v>
      </c>
      <c r="P175" s="2" t="n">
        <f aca="false">100*LN(C175)</f>
        <v>453.57343592681</v>
      </c>
      <c r="Q175" s="2" t="n">
        <f aca="false">SUM(E175:O175)</f>
        <v>0.541940710465396</v>
      </c>
      <c r="R175" s="2" t="n">
        <f aca="false">P175-Q175</f>
        <v>453.031495216344</v>
      </c>
      <c r="S175" s="1" t="n">
        <f aca="false">EXP(R175/100)</f>
        <v>92.787780192672</v>
      </c>
      <c r="T175" s="2"/>
      <c r="U175" s="2"/>
      <c r="V175" s="4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L175" s="2"/>
      <c r="AM175" s="5"/>
      <c r="AN175" s="2"/>
      <c r="AO175" s="2"/>
      <c r="AP175" s="2"/>
      <c r="AR175" s="2"/>
      <c r="AS175" s="2"/>
      <c r="AT175" s="2"/>
      <c r="AU175" s="2"/>
      <c r="AW175" s="2"/>
      <c r="AX175" s="2"/>
      <c r="AY175" s="2"/>
      <c r="AZ175" s="2"/>
      <c r="BB175" s="2"/>
      <c r="BC175" s="2"/>
      <c r="BD175" s="2"/>
      <c r="BE175" s="2"/>
    </row>
    <row r="176" customFormat="false" ht="12.8" hidden="false" customHeight="false" outlineLevel="0" collapsed="false">
      <c r="A176" s="2" t="n">
        <v>174</v>
      </c>
      <c r="B176" s="2" t="s">
        <v>180</v>
      </c>
      <c r="C176" s="2" t="n">
        <v>93.723</v>
      </c>
      <c r="D176" s="2" t="n">
        <f aca="false">100*LN(C176)</f>
        <v>454.034362337056</v>
      </c>
      <c r="E176" s="2" t="n">
        <f aca="false">E$2*COS((PI()*E$1*$A176)/6)</f>
        <v>0.16099</v>
      </c>
      <c r="F176" s="2" t="n">
        <f aca="false">F$2*SIN((PI()*F$1*$A176)/6)</f>
        <v>-2.36271823537627E-015</v>
      </c>
      <c r="G176" s="1" t="n">
        <f aca="false">G$2*COS((PI()*G$1*$A176)/6)</f>
        <v>0.289269</v>
      </c>
      <c r="H176" s="1" t="n">
        <f aca="false">H$2*SIN((PI()*H$1*$A176)/6)</f>
        <v>1.6407304500325E-014</v>
      </c>
      <c r="I176" s="1" t="n">
        <f aca="false">I$2*COS((PI()*I$1*$A176)/6)</f>
        <v>-0.086102</v>
      </c>
      <c r="J176" s="1" t="n">
        <f aca="false">J$2*SIN((PI()*J$1*$A176)/6)</f>
        <v>-9.44074230053083E-016</v>
      </c>
      <c r="K176" s="1" t="n">
        <f aca="false">K$2*COS((PI()*K$1*$A176)/6)</f>
        <v>0.058566</v>
      </c>
      <c r="L176" s="1" t="n">
        <f aca="false">L$2*SIN((PI()*L$1*$A176)/6)</f>
        <v>9.83646510173969E-016</v>
      </c>
      <c r="M176" s="1" t="n">
        <f aca="false">M$2*COS((PI()*M$1*$A176)/6)</f>
        <v>0.00265</v>
      </c>
      <c r="N176" s="1" t="n">
        <f aca="false">N$2*SIN((PI()*N$1*$A176)/6)</f>
        <v>3.29165379324858E-016</v>
      </c>
      <c r="O176" s="2" t="n">
        <f aca="false">O$2*(-1)^(A176)</f>
        <v>0.114941</v>
      </c>
      <c r="P176" s="2" t="n">
        <f aca="false">100*LN(C176)</f>
        <v>454.034362337056</v>
      </c>
      <c r="Q176" s="2" t="n">
        <f aca="false">SUM(E176:O176)</f>
        <v>0.540314000000014</v>
      </c>
      <c r="R176" s="2" t="n">
        <f aca="false">P176-Q176</f>
        <v>453.494048337056</v>
      </c>
      <c r="S176" s="1" t="n">
        <f aca="false">EXP(R176/100)</f>
        <v>93.2179671201142</v>
      </c>
      <c r="T176" s="2"/>
      <c r="U176" s="2"/>
      <c r="V176" s="4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L176" s="2"/>
      <c r="AM176" s="5"/>
      <c r="AN176" s="2"/>
      <c r="AO176" s="2"/>
      <c r="AP176" s="2"/>
      <c r="AR176" s="2"/>
      <c r="AS176" s="2"/>
      <c r="AT176" s="2"/>
      <c r="AU176" s="2"/>
      <c r="AW176" s="2"/>
      <c r="AX176" s="2"/>
      <c r="AY176" s="2"/>
      <c r="AZ176" s="2"/>
      <c r="BB176" s="2"/>
      <c r="BC176" s="2"/>
      <c r="BD176" s="2"/>
      <c r="BE176" s="2"/>
    </row>
    <row r="177" customFormat="false" ht="12.8" hidden="false" customHeight="false" outlineLevel="0" collapsed="false">
      <c r="A177" s="2" t="n">
        <v>175</v>
      </c>
      <c r="B177" s="2" t="s">
        <v>181</v>
      </c>
      <c r="C177" s="2" t="n">
        <v>93.041</v>
      </c>
      <c r="D177" s="2" t="n">
        <f aca="false">100*LN(C177)</f>
        <v>453.3040256218</v>
      </c>
      <c r="E177" s="2" t="n">
        <f aca="false">E$2*COS((PI()*E$1*$A177)/6)</f>
        <v>0.139421429755258</v>
      </c>
      <c r="F177" s="2" t="n">
        <f aca="false">F$2*SIN((PI()*F$1*$A177)/6)</f>
        <v>0.0831379999999984</v>
      </c>
      <c r="G177" s="1" t="n">
        <f aca="false">G$2*COS((PI()*G$1*$A177)/6)</f>
        <v>0.144634500000006</v>
      </c>
      <c r="H177" s="1" t="n">
        <f aca="false">H$2*SIN((PI()*H$1*$A177)/6)</f>
        <v>-0.499983312392267</v>
      </c>
      <c r="I177" s="1" t="n">
        <f aca="false">I$2*COS((PI()*I$1*$A177)/6)</f>
        <v>-2.91096210924515E-015</v>
      </c>
      <c r="J177" s="1" t="n">
        <f aca="false">J$2*SIN((PI()*J$1*$A177)/6)</f>
        <v>0.033221</v>
      </c>
      <c r="K177" s="1" t="n">
        <f aca="false">K$2*COS((PI()*K$1*$A177)/6)</f>
        <v>-0.0292829999999977</v>
      </c>
      <c r="L177" s="1" t="n">
        <f aca="false">L$2*SIN((PI()*L$1*$A177)/6)</f>
        <v>-0.0149874356378939</v>
      </c>
      <c r="M177" s="1" t="n">
        <f aca="false">M$2*COS((PI()*M$1*$A177)/6)</f>
        <v>-0.00229496732002869</v>
      </c>
      <c r="N177" s="1" t="n">
        <f aca="false">N$2*SIN((PI()*N$1*$A177)/6)</f>
        <v>-0.00579200000000057</v>
      </c>
      <c r="O177" s="2" t="n">
        <f aca="false">O$2*(-1)^(A177)</f>
        <v>-0.114941</v>
      </c>
      <c r="P177" s="2" t="n">
        <f aca="false">100*LN(C177)</f>
        <v>453.3040256218</v>
      </c>
      <c r="Q177" s="2" t="n">
        <f aca="false">SUM(E177:O177)</f>
        <v>-0.266866785594929</v>
      </c>
      <c r="R177" s="2" t="n">
        <f aca="false">P177-Q177</f>
        <v>453.570892407395</v>
      </c>
      <c r="S177" s="1" t="n">
        <f aca="false">EXP(R177/100)</f>
        <v>93.2896271300446</v>
      </c>
      <c r="T177" s="2"/>
      <c r="U177" s="2"/>
      <c r="V177" s="4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L177" s="2"/>
      <c r="AM177" s="5"/>
      <c r="AN177" s="2"/>
      <c r="AO177" s="2"/>
      <c r="AP177" s="2"/>
      <c r="AR177" s="2"/>
      <c r="AS177" s="2"/>
      <c r="AT177" s="2"/>
      <c r="AU177" s="2"/>
      <c r="AW177" s="2"/>
      <c r="AX177" s="2"/>
      <c r="AY177" s="2"/>
      <c r="AZ177" s="2"/>
      <c r="BB177" s="2"/>
      <c r="BC177" s="2"/>
      <c r="BD177" s="2"/>
      <c r="BE177" s="2"/>
    </row>
    <row r="178" customFormat="false" ht="12.8" hidden="false" customHeight="false" outlineLevel="0" collapsed="false">
      <c r="A178" s="2" t="n">
        <v>176</v>
      </c>
      <c r="B178" s="2" t="s">
        <v>182</v>
      </c>
      <c r="C178" s="2" t="n">
        <v>93.161</v>
      </c>
      <c r="D178" s="2" t="n">
        <f aca="false">100*LN(C178)</f>
        <v>453.432917917923</v>
      </c>
      <c r="E178" s="2" t="n">
        <f aca="false">E$2*COS((PI()*E$1*$A178)/6)</f>
        <v>0.0804950000000012</v>
      </c>
      <c r="F178" s="2" t="n">
        <f aca="false">F$2*SIN((PI()*F$1*$A178)/6)</f>
        <v>0.143999240039661</v>
      </c>
      <c r="G178" s="1" t="n">
        <f aca="false">G$2*COS((PI()*G$1*$A178)/6)</f>
        <v>-0.144634499999996</v>
      </c>
      <c r="H178" s="1" t="n">
        <f aca="false">H$2*SIN((PI()*H$1*$A178)/6)</f>
        <v>-0.499983312392279</v>
      </c>
      <c r="I178" s="1" t="n">
        <f aca="false">I$2*COS((PI()*I$1*$A178)/6)</f>
        <v>0.086102</v>
      </c>
      <c r="J178" s="1" t="n">
        <f aca="false">J$2*SIN((PI()*J$1*$A178)/6)</f>
        <v>-5.86178485420078E-016</v>
      </c>
      <c r="K178" s="1" t="n">
        <f aca="false">K$2*COS((PI()*K$1*$A178)/6)</f>
        <v>-0.0292830000000017</v>
      </c>
      <c r="L178" s="1" t="n">
        <f aca="false">L$2*SIN((PI()*L$1*$A178)/6)</f>
        <v>0.0149874356378932</v>
      </c>
      <c r="M178" s="1" t="n">
        <f aca="false">M$2*COS((PI()*M$1*$A178)/6)</f>
        <v>0.00132500000000007</v>
      </c>
      <c r="N178" s="1" t="n">
        <f aca="false">N$2*SIN((PI()*N$1*$A178)/6)</f>
        <v>0.0100320382774388</v>
      </c>
      <c r="O178" s="2" t="n">
        <f aca="false">O$2*(-1)^(A178)</f>
        <v>0.114941</v>
      </c>
      <c r="P178" s="2" t="n">
        <f aca="false">100*LN(C178)</f>
        <v>453.432917917923</v>
      </c>
      <c r="Q178" s="2" t="n">
        <f aca="false">SUM(E178:O178)</f>
        <v>-0.222019098437283</v>
      </c>
      <c r="R178" s="2" t="n">
        <f aca="false">P178-Q178</f>
        <v>453.65493701636</v>
      </c>
      <c r="S178" s="1" t="n">
        <f aca="false">EXP(R178/100)</f>
        <v>93.36806498915</v>
      </c>
      <c r="T178" s="2"/>
      <c r="U178" s="2"/>
      <c r="V178" s="4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L178" s="2"/>
      <c r="AM178" s="5"/>
      <c r="AN178" s="2"/>
      <c r="AO178" s="2"/>
      <c r="AP178" s="2"/>
      <c r="AR178" s="2"/>
      <c r="AS178" s="2"/>
      <c r="AT178" s="2"/>
      <c r="AU178" s="2"/>
      <c r="AW178" s="2"/>
      <c r="AX178" s="2"/>
      <c r="AY178" s="2"/>
      <c r="AZ178" s="2"/>
      <c r="BB178" s="2"/>
      <c r="BC178" s="2"/>
      <c r="BD178" s="2"/>
      <c r="BE178" s="2"/>
    </row>
    <row r="179" customFormat="false" ht="12.8" hidden="false" customHeight="false" outlineLevel="0" collapsed="false">
      <c r="A179" s="2" t="n">
        <v>177</v>
      </c>
      <c r="B179" s="2" t="s">
        <v>183</v>
      </c>
      <c r="C179" s="2" t="n">
        <v>93.165</v>
      </c>
      <c r="D179" s="2" t="n">
        <f aca="false">100*LN(C179)</f>
        <v>453.437211467938</v>
      </c>
      <c r="E179" s="2" t="n">
        <f aca="false">E$2*COS((PI()*E$1*$A179)/6)</f>
        <v>-1.42021994285086E-015</v>
      </c>
      <c r="F179" s="2" t="n">
        <f aca="false">F$2*SIN((PI()*F$1*$A179)/6)</f>
        <v>0.166276</v>
      </c>
      <c r="G179" s="1" t="n">
        <f aca="false">G$2*COS((PI()*G$1*$A179)/6)</f>
        <v>-0.289269</v>
      </c>
      <c r="H179" s="1" t="n">
        <f aca="false">H$2*SIN((PI()*H$1*$A179)/6)</f>
        <v>1.01861854751976E-014</v>
      </c>
      <c r="I179" s="1" t="n">
        <f aca="false">I$2*COS((PI()*I$1*$A179)/6)</f>
        <v>3.83919382263141E-015</v>
      </c>
      <c r="J179" s="1" t="n">
        <f aca="false">J$2*SIN((PI()*J$1*$A179)/6)</f>
        <v>-0.033221</v>
      </c>
      <c r="K179" s="1" t="n">
        <f aca="false">K$2*COS((PI()*K$1*$A179)/6)</f>
        <v>0.058566</v>
      </c>
      <c r="L179" s="1" t="n">
        <f aca="false">L$2*SIN((PI()*L$1*$A179)/6)</f>
        <v>-6.1067957838318E-016</v>
      </c>
      <c r="M179" s="1" t="n">
        <f aca="false">M$2*COS((PI()*M$1*$A179)/6)</f>
        <v>-3.91242010684513E-018</v>
      </c>
      <c r="N179" s="1" t="n">
        <f aca="false">N$2*SIN((PI()*N$1*$A179)/6)</f>
        <v>-0.011584</v>
      </c>
      <c r="O179" s="2" t="n">
        <f aca="false">O$2*(-1)^(A179)</f>
        <v>-0.114941</v>
      </c>
      <c r="P179" s="2" t="n">
        <f aca="false">100*LN(C179)</f>
        <v>453.437211467938</v>
      </c>
      <c r="Q179" s="2" t="n">
        <f aca="false">SUM(E179:O179)</f>
        <v>-0.224172999999988</v>
      </c>
      <c r="R179" s="2" t="n">
        <f aca="false">P179-Q179</f>
        <v>453.661384467938</v>
      </c>
      <c r="S179" s="1" t="n">
        <f aca="false">EXP(R179/100)</f>
        <v>93.3740850439974</v>
      </c>
      <c r="T179" s="2"/>
      <c r="U179" s="2"/>
      <c r="V179" s="4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L179" s="2"/>
      <c r="AM179" s="5"/>
      <c r="AN179" s="2"/>
      <c r="AO179" s="2"/>
      <c r="AP179" s="2"/>
      <c r="AR179" s="2"/>
      <c r="AS179" s="2"/>
      <c r="AT179" s="2"/>
      <c r="AU179" s="2"/>
      <c r="AW179" s="2"/>
      <c r="AX179" s="2"/>
      <c r="AY179" s="2"/>
      <c r="AZ179" s="2"/>
      <c r="BB179" s="2"/>
      <c r="BC179" s="2"/>
      <c r="BD179" s="2"/>
      <c r="BE179" s="2"/>
    </row>
    <row r="180" customFormat="false" ht="12.8" hidden="false" customHeight="false" outlineLevel="0" collapsed="false">
      <c r="A180" s="2" t="n">
        <v>178</v>
      </c>
      <c r="B180" s="2" t="s">
        <v>184</v>
      </c>
      <c r="C180" s="2" t="n">
        <v>94.23</v>
      </c>
      <c r="D180" s="2" t="n">
        <f aca="false">100*LN(C180)</f>
        <v>454.573860221867</v>
      </c>
      <c r="E180" s="2" t="n">
        <f aca="false">E$2*COS((PI()*E$1*$A180)/6)</f>
        <v>-0.0804949999999997</v>
      </c>
      <c r="F180" s="2" t="n">
        <f aca="false">F$2*SIN((PI()*F$1*$A180)/6)</f>
        <v>0.143999240039662</v>
      </c>
      <c r="G180" s="1" t="n">
        <f aca="false">G$2*COS((PI()*G$1*$A180)/6)</f>
        <v>-0.144634500000001</v>
      </c>
      <c r="H180" s="1" t="n">
        <f aca="false">H$2*SIN((PI()*H$1*$A180)/6)</f>
        <v>0.499983312392272</v>
      </c>
      <c r="I180" s="1" t="n">
        <f aca="false">I$2*COS((PI()*I$1*$A180)/6)</f>
        <v>-0.086102</v>
      </c>
      <c r="J180" s="1" t="n">
        <f aca="false">J$2*SIN((PI()*J$1*$A180)/6)</f>
        <v>2.28035982918337E-016</v>
      </c>
      <c r="K180" s="1" t="n">
        <f aca="false">K$2*COS((PI()*K$1*$A180)/6)</f>
        <v>-0.0292829999999995</v>
      </c>
      <c r="L180" s="1" t="n">
        <f aca="false">L$2*SIN((PI()*L$1*$A180)/6)</f>
        <v>-0.0149874356378936</v>
      </c>
      <c r="M180" s="1" t="n">
        <f aca="false">M$2*COS((PI()*M$1*$A180)/6)</f>
        <v>-0.00132500000000006</v>
      </c>
      <c r="N180" s="1" t="n">
        <f aca="false">N$2*SIN((PI()*N$1*$A180)/6)</f>
        <v>0.0100320382774388</v>
      </c>
      <c r="O180" s="2" t="n">
        <f aca="false">O$2*(-1)^(A180)</f>
        <v>0.114941</v>
      </c>
      <c r="P180" s="2" t="n">
        <f aca="false">100*LN(C180)</f>
        <v>454.573860221867</v>
      </c>
      <c r="Q180" s="2" t="n">
        <f aca="false">SUM(E180:O180)</f>
        <v>0.412128655071479</v>
      </c>
      <c r="R180" s="2" t="n">
        <f aca="false">P180-Q180</f>
        <v>454.161731566795</v>
      </c>
      <c r="S180" s="1" t="n">
        <f aca="false">EXP(R180/100)</f>
        <v>93.8424503185155</v>
      </c>
      <c r="T180" s="2"/>
      <c r="U180" s="2"/>
      <c r="V180" s="4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L180" s="2"/>
      <c r="AM180" s="5"/>
      <c r="AN180" s="2"/>
      <c r="AO180" s="2"/>
      <c r="AP180" s="2"/>
      <c r="AR180" s="2"/>
      <c r="AS180" s="2"/>
      <c r="AT180" s="2"/>
      <c r="AU180" s="2"/>
      <c r="AW180" s="2"/>
      <c r="AX180" s="2"/>
      <c r="AY180" s="2"/>
      <c r="AZ180" s="2"/>
      <c r="BB180" s="2"/>
      <c r="BC180" s="2"/>
      <c r="BD180" s="2"/>
      <c r="BE180" s="2"/>
    </row>
    <row r="181" customFormat="false" ht="12.8" hidden="false" customHeight="false" outlineLevel="0" collapsed="false">
      <c r="A181" s="2" t="n">
        <v>179</v>
      </c>
      <c r="B181" s="2" t="s">
        <v>185</v>
      </c>
      <c r="C181" s="2" t="n">
        <v>94.572</v>
      </c>
      <c r="D181" s="2" t="n">
        <f aca="false">100*LN(C181)</f>
        <v>454.936144915951</v>
      </c>
      <c r="E181" s="2" t="n">
        <f aca="false">E$2*COS((PI()*E$1*$A181)/6)</f>
        <v>-0.139421429755257</v>
      </c>
      <c r="F181" s="2" t="n">
        <f aca="false">F$2*SIN((PI()*F$1*$A181)/6)</f>
        <v>0.0831379999999999</v>
      </c>
      <c r="G181" s="1" t="n">
        <f aca="false">G$2*COS((PI()*G$1*$A181)/6)</f>
        <v>0.1446345</v>
      </c>
      <c r="H181" s="1" t="n">
        <f aca="false">H$2*SIN((PI()*H$1*$A181)/6)</f>
        <v>0.499983312392274</v>
      </c>
      <c r="I181" s="1" t="n">
        <f aca="false">I$2*COS((PI()*I$1*$A181)/6)</f>
        <v>1.26906514735623E-016</v>
      </c>
      <c r="J181" s="1" t="n">
        <f aca="false">J$2*SIN((PI()*J$1*$A181)/6)</f>
        <v>0.033221</v>
      </c>
      <c r="K181" s="1" t="n">
        <f aca="false">K$2*COS((PI()*K$1*$A181)/6)</f>
        <v>-0.0292829999999999</v>
      </c>
      <c r="L181" s="1" t="n">
        <f aca="false">L$2*SIN((PI()*L$1*$A181)/6)</f>
        <v>0.0149874356378935</v>
      </c>
      <c r="M181" s="1" t="n">
        <f aca="false">M$2*COS((PI()*M$1*$A181)/6)</f>
        <v>0.00229496732002876</v>
      </c>
      <c r="N181" s="1" t="n">
        <f aca="false">N$2*SIN((PI()*N$1*$A181)/6)</f>
        <v>-0.00579200000000002</v>
      </c>
      <c r="O181" s="2" t="n">
        <f aca="false">O$2*(-1)^(A181)</f>
        <v>-0.114941</v>
      </c>
      <c r="P181" s="2" t="n">
        <f aca="false">100*LN(C181)</f>
        <v>454.936144915951</v>
      </c>
      <c r="Q181" s="2" t="n">
        <f aca="false">SUM(E181:O181)</f>
        <v>0.488821785594939</v>
      </c>
      <c r="R181" s="2" t="n">
        <f aca="false">P181-Q181</f>
        <v>454.447323130356</v>
      </c>
      <c r="S181" s="1" t="n">
        <f aca="false">EXP(R181/100)</f>
        <v>94.1108395056814</v>
      </c>
      <c r="T181" s="2"/>
      <c r="U181" s="2"/>
      <c r="V181" s="4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L181" s="2"/>
      <c r="AM181" s="5"/>
      <c r="AN181" s="2"/>
      <c r="AO181" s="2"/>
      <c r="AP181" s="2"/>
      <c r="AR181" s="2"/>
      <c r="AS181" s="2"/>
      <c r="AT181" s="2"/>
      <c r="AU181" s="2"/>
      <c r="AW181" s="2"/>
      <c r="AX181" s="2"/>
      <c r="AY181" s="2"/>
      <c r="AZ181" s="2"/>
      <c r="BB181" s="2"/>
      <c r="BC181" s="2"/>
      <c r="BD181" s="2"/>
      <c r="BE181" s="2"/>
    </row>
    <row r="182" customFormat="false" ht="12.8" hidden="false" customHeight="false" outlineLevel="0" collapsed="false">
      <c r="A182" s="2" t="n">
        <v>180</v>
      </c>
      <c r="B182" s="2" t="s">
        <v>186</v>
      </c>
      <c r="C182" s="2" t="n">
        <v>95.132</v>
      </c>
      <c r="D182" s="2" t="n">
        <f aca="false">100*LN(C182)</f>
        <v>455.526540085945</v>
      </c>
      <c r="E182" s="2" t="n">
        <f aca="false">E$2*COS((PI()*E$1*$A182)/6)</f>
        <v>-0.16099</v>
      </c>
      <c r="F182" s="2" t="n">
        <f aca="false">F$2*SIN((PI()*F$1*$A182)/6)</f>
        <v>-5.70573925787388E-016</v>
      </c>
      <c r="G182" s="1" t="n">
        <f aca="false">G$2*COS((PI()*G$1*$A182)/6)</f>
        <v>0.289269</v>
      </c>
      <c r="H182" s="1" t="n">
        <f aca="false">H$2*SIN((PI()*H$1*$A182)/6)</f>
        <v>-3.96220759639105E-015</v>
      </c>
      <c r="I182" s="1" t="n">
        <f aca="false">I$2*COS((PI()*I$1*$A182)/6)</f>
        <v>0.086102</v>
      </c>
      <c r="J182" s="1" t="n">
        <f aca="false">J$2*SIN((PI()*J$1*$A182)/6)</f>
        <v>1.30106519583405E-016</v>
      </c>
      <c r="K182" s="1" t="n">
        <f aca="false">K$2*COS((PI()*K$1*$A182)/6)</f>
        <v>0.058566</v>
      </c>
      <c r="L182" s="1" t="n">
        <f aca="false">L$2*SIN((PI()*L$1*$A182)/6)</f>
        <v>-2.37541253330043E-016</v>
      </c>
      <c r="M182" s="1" t="n">
        <f aca="false">M$2*COS((PI()*M$1*$A182)/6)</f>
        <v>-0.00265</v>
      </c>
      <c r="N182" s="1" t="n">
        <f aca="false">N$2*SIN((PI()*N$1*$A182)/6)</f>
        <v>-2.95103898330294E-016</v>
      </c>
      <c r="O182" s="2" t="n">
        <f aca="false">O$2*(-1)^(A182)</f>
        <v>0.114941</v>
      </c>
      <c r="P182" s="2" t="n">
        <f aca="false">100*LN(C182)</f>
        <v>455.526540085945</v>
      </c>
      <c r="Q182" s="2" t="n">
        <f aca="false">SUM(E182:O182)</f>
        <v>0.385237999999995</v>
      </c>
      <c r="R182" s="2" t="n">
        <f aca="false">P182-Q182</f>
        <v>455.141302085945</v>
      </c>
      <c r="S182" s="1" t="n">
        <f aca="false">EXP(R182/100)</f>
        <v>94.7662203992219</v>
      </c>
      <c r="T182" s="2"/>
      <c r="U182" s="2"/>
      <c r="V182" s="4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L182" s="2"/>
      <c r="AM182" s="5"/>
      <c r="AN182" s="2"/>
      <c r="AO182" s="2"/>
      <c r="AP182" s="2"/>
      <c r="AR182" s="2"/>
      <c r="AS182" s="2"/>
      <c r="AT182" s="2"/>
      <c r="AU182" s="2"/>
      <c r="AW182" s="2"/>
      <c r="AX182" s="2"/>
      <c r="AY182" s="2"/>
      <c r="AZ182" s="2"/>
      <c r="BB182" s="2"/>
      <c r="BC182" s="2"/>
      <c r="BD182" s="2"/>
      <c r="BE182" s="2"/>
    </row>
    <row r="183" customFormat="false" ht="12.8" hidden="false" customHeight="false" outlineLevel="0" collapsed="false">
      <c r="A183" s="2" t="n">
        <v>181</v>
      </c>
      <c r="B183" s="2" t="s">
        <v>187</v>
      </c>
      <c r="C183" s="2" t="n">
        <v>94.609</v>
      </c>
      <c r="D183" s="2" t="n">
        <f aca="false">100*LN(C183)</f>
        <v>454.975260895327</v>
      </c>
      <c r="E183" s="2" t="n">
        <f aca="false">E$2*COS((PI()*E$1*$A183)/6)</f>
        <v>-0.139421429755257</v>
      </c>
      <c r="F183" s="2" t="n">
        <f aca="false">F$2*SIN((PI()*F$1*$A183)/6)</f>
        <v>-0.0831379999999989</v>
      </c>
      <c r="G183" s="1" t="n">
        <f aca="false">G$2*COS((PI()*G$1*$A183)/6)</f>
        <v>0.144634500000004</v>
      </c>
      <c r="H183" s="1" t="n">
        <f aca="false">H$2*SIN((PI()*H$1*$A183)/6)</f>
        <v>-0.499983312392269</v>
      </c>
      <c r="I183" s="1" t="n">
        <f aca="false">I$2*COS((PI()*I$1*$A183)/6)</f>
        <v>8.01325198650638E-016</v>
      </c>
      <c r="J183" s="1" t="n">
        <f aca="false">J$2*SIN((PI()*J$1*$A183)/6)</f>
        <v>-0.033221</v>
      </c>
      <c r="K183" s="1" t="n">
        <f aca="false">K$2*COS((PI()*K$1*$A183)/6)</f>
        <v>-0.0292829999999984</v>
      </c>
      <c r="L183" s="1" t="n">
        <f aca="false">L$2*SIN((PI()*L$1*$A183)/6)</f>
        <v>-0.0149874356378938</v>
      </c>
      <c r="M183" s="1" t="n">
        <f aca="false">M$2*COS((PI()*M$1*$A183)/6)</f>
        <v>0.00229496732002869</v>
      </c>
      <c r="N183" s="1" t="n">
        <f aca="false">N$2*SIN((PI()*N$1*$A183)/6)</f>
        <v>0.00579200000000054</v>
      </c>
      <c r="O183" s="2" t="n">
        <f aca="false">O$2*(-1)^(A183)</f>
        <v>-0.114941</v>
      </c>
      <c r="P183" s="2" t="n">
        <f aca="false">100*LN(C183)</f>
        <v>454.975260895327</v>
      </c>
      <c r="Q183" s="2" t="n">
        <f aca="false">SUM(E183:O183)</f>
        <v>-0.762253710465384</v>
      </c>
      <c r="R183" s="2" t="n">
        <f aca="false">P183-Q183</f>
        <v>455.737514605793</v>
      </c>
      <c r="S183" s="1" t="n">
        <f aca="false">EXP(R183/100)</f>
        <v>95.3329161466358</v>
      </c>
      <c r="T183" s="2"/>
      <c r="U183" s="2"/>
      <c r="V183" s="4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L183" s="2"/>
      <c r="AM183" s="5"/>
      <c r="AN183" s="2"/>
      <c r="AO183" s="2"/>
      <c r="AP183" s="2"/>
      <c r="AR183" s="2"/>
      <c r="AS183" s="2"/>
      <c r="AT183" s="2"/>
      <c r="AU183" s="2"/>
      <c r="AW183" s="2"/>
      <c r="AX183" s="2"/>
      <c r="AY183" s="2"/>
      <c r="AZ183" s="2"/>
      <c r="BB183" s="2"/>
      <c r="BC183" s="2"/>
      <c r="BD183" s="2"/>
      <c r="BE183" s="2"/>
    </row>
    <row r="184" customFormat="false" ht="12.8" hidden="false" customHeight="false" outlineLevel="0" collapsed="false">
      <c r="A184" s="2" t="n">
        <v>182</v>
      </c>
      <c r="B184" s="2" t="s">
        <v>188</v>
      </c>
      <c r="C184" s="2" t="n">
        <v>94.269</v>
      </c>
      <c r="D184" s="2" t="n">
        <f aca="false">100*LN(C184)</f>
        <v>454.615239752322</v>
      </c>
      <c r="E184" s="2" t="n">
        <f aca="false">E$2*COS((PI()*E$1*$A184)/6)</f>
        <v>-0.0804950000000007</v>
      </c>
      <c r="F184" s="2" t="n">
        <f aca="false">F$2*SIN((PI()*F$1*$A184)/6)</f>
        <v>-0.143999240039661</v>
      </c>
      <c r="G184" s="1" t="n">
        <f aca="false">G$2*COS((PI()*G$1*$A184)/6)</f>
        <v>-0.144634499999998</v>
      </c>
      <c r="H184" s="1" t="n">
        <f aca="false">H$2*SIN((PI()*H$1*$A184)/6)</f>
        <v>-0.499983312392277</v>
      </c>
      <c r="I184" s="1" t="n">
        <f aca="false">I$2*COS((PI()*I$1*$A184)/6)</f>
        <v>-0.086102</v>
      </c>
      <c r="J184" s="1" t="n">
        <f aca="false">J$2*SIN((PI()*J$1*$A184)/6)</f>
        <v>-4.88249022085147E-016</v>
      </c>
      <c r="K184" s="1" t="n">
        <f aca="false">K$2*COS((PI()*K$1*$A184)/6)</f>
        <v>-0.029283000000001</v>
      </c>
      <c r="L184" s="1" t="n">
        <f aca="false">L$2*SIN((PI()*L$1*$A184)/6)</f>
        <v>0.0149874356378933</v>
      </c>
      <c r="M184" s="1" t="n">
        <f aca="false">M$2*COS((PI()*M$1*$A184)/6)</f>
        <v>-0.00132499999999994</v>
      </c>
      <c r="N184" s="1" t="n">
        <f aca="false">N$2*SIN((PI()*N$1*$A184)/6)</f>
        <v>-0.0100320382774391</v>
      </c>
      <c r="O184" s="2" t="n">
        <f aca="false">O$2*(-1)^(A184)</f>
        <v>0.114941</v>
      </c>
      <c r="P184" s="2" t="n">
        <f aca="false">100*LN(C184)</f>
        <v>454.615239752322</v>
      </c>
      <c r="Q184" s="2" t="n">
        <f aca="false">SUM(E184:O184)</f>
        <v>-0.865925655071483</v>
      </c>
      <c r="R184" s="2" t="n">
        <f aca="false">P184-Q184</f>
        <v>455.481165407393</v>
      </c>
      <c r="S184" s="1" t="n">
        <f aca="false">EXP(R184/100)</f>
        <v>95.0888439524995</v>
      </c>
      <c r="T184" s="2"/>
      <c r="U184" s="2"/>
      <c r="V184" s="4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L184" s="2"/>
      <c r="AM184" s="5"/>
      <c r="AN184" s="2"/>
      <c r="AO184" s="2"/>
      <c r="AP184" s="2"/>
      <c r="AR184" s="2"/>
      <c r="AS184" s="2"/>
      <c r="AT184" s="2"/>
      <c r="AU184" s="2"/>
      <c r="AW184" s="2"/>
      <c r="AX184" s="2"/>
      <c r="AY184" s="2"/>
      <c r="AZ184" s="2"/>
      <c r="BB184" s="2"/>
      <c r="BC184" s="2"/>
      <c r="BD184" s="2"/>
      <c r="BE184" s="2"/>
    </row>
    <row r="185" customFormat="false" ht="12.8" hidden="false" customHeight="false" outlineLevel="0" collapsed="false">
      <c r="A185" s="2" t="n">
        <v>183</v>
      </c>
      <c r="B185" s="2" t="s">
        <v>189</v>
      </c>
      <c r="C185" s="2" t="n">
        <v>94.249</v>
      </c>
      <c r="D185" s="2" t="n">
        <f aca="false">100*LN(C185)</f>
        <v>454.594021619226</v>
      </c>
      <c r="E185" s="2" t="n">
        <f aca="false">E$2*COS((PI()*E$1*$A185)/6)</f>
        <v>-3.15349771418887E-016</v>
      </c>
      <c r="F185" s="2" t="n">
        <f aca="false">F$2*SIN((PI()*F$1*$A185)/6)</f>
        <v>-0.166276</v>
      </c>
      <c r="G185" s="1" t="n">
        <f aca="false">G$2*COS((PI()*G$1*$A185)/6)</f>
        <v>-0.289269</v>
      </c>
      <c r="H185" s="1" t="n">
        <f aca="false">H$2*SIN((PI()*H$1*$A185)/6)</f>
        <v>-2.26177028241553E-015</v>
      </c>
      <c r="I185" s="1" t="n">
        <f aca="false">I$2*COS((PI()*I$1*$A185)/6)</f>
        <v>-1.7295569120369E-015</v>
      </c>
      <c r="J185" s="1" t="n">
        <f aca="false">J$2*SIN((PI()*J$1*$A185)/6)</f>
        <v>0.033221</v>
      </c>
      <c r="K185" s="1" t="n">
        <f aca="false">K$2*COS((PI()*K$1*$A185)/6)</f>
        <v>0.058566</v>
      </c>
      <c r="L185" s="1" t="n">
        <f aca="false">L$2*SIN((PI()*L$1*$A185)/6)</f>
        <v>1.35597071723095E-016</v>
      </c>
      <c r="M185" s="1" t="n">
        <f aca="false">M$2*COS((PI()*M$1*$A185)/6)</f>
        <v>-1.38930605634345E-016</v>
      </c>
      <c r="N185" s="1" t="n">
        <f aca="false">N$2*SIN((PI()*N$1*$A185)/6)</f>
        <v>0.011584</v>
      </c>
      <c r="O185" s="2" t="n">
        <f aca="false">O$2*(-1)^(A185)</f>
        <v>-0.114941</v>
      </c>
      <c r="P185" s="2" t="n">
        <f aca="false">100*LN(C185)</f>
        <v>454.594021619226</v>
      </c>
      <c r="Q185" s="2" t="n">
        <f aca="false">SUM(E185:O185)</f>
        <v>-0.467115000000004</v>
      </c>
      <c r="R185" s="2" t="n">
        <f aca="false">P185-Q185</f>
        <v>455.061136619226</v>
      </c>
      <c r="S185" s="1" t="n">
        <f aca="false">EXP(R185/100)</f>
        <v>94.6902810589767</v>
      </c>
      <c r="T185" s="2"/>
      <c r="U185" s="2"/>
      <c r="V185" s="4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L185" s="2"/>
      <c r="AM185" s="5"/>
      <c r="AN185" s="2"/>
      <c r="AO185" s="2"/>
      <c r="AP185" s="2"/>
      <c r="AR185" s="2"/>
      <c r="AS185" s="2"/>
      <c r="AT185" s="2"/>
      <c r="AU185" s="2"/>
      <c r="AW185" s="2"/>
      <c r="AX185" s="2"/>
      <c r="AY185" s="2"/>
      <c r="AZ185" s="2"/>
      <c r="BB185" s="2"/>
      <c r="BC185" s="2"/>
      <c r="BD185" s="2"/>
      <c r="BE185" s="2"/>
    </row>
    <row r="186" customFormat="false" ht="12.8" hidden="false" customHeight="false" outlineLevel="0" collapsed="false">
      <c r="A186" s="2" t="n">
        <v>184</v>
      </c>
      <c r="B186" s="2" t="s">
        <v>190</v>
      </c>
      <c r="C186" s="2" t="n">
        <v>95.154</v>
      </c>
      <c r="D186" s="2" t="n">
        <f aca="false">100*LN(C186)</f>
        <v>455.549663174452</v>
      </c>
      <c r="E186" s="2" t="n">
        <f aca="false">E$2*COS((PI()*E$1*$A186)/6)</f>
        <v>0.0804949999999982</v>
      </c>
      <c r="F186" s="2" t="n">
        <f aca="false">F$2*SIN((PI()*F$1*$A186)/6)</f>
        <v>-0.143999240039662</v>
      </c>
      <c r="G186" s="1" t="n">
        <f aca="false">G$2*COS((PI()*G$1*$A186)/6)</f>
        <v>-0.144634500000007</v>
      </c>
      <c r="H186" s="1" t="n">
        <f aca="false">H$2*SIN((PI()*H$1*$A186)/6)</f>
        <v>0.499983312392266</v>
      </c>
      <c r="I186" s="1" t="n">
        <f aca="false">I$2*COS((PI()*I$1*$A186)/6)</f>
        <v>0.086102</v>
      </c>
      <c r="J186" s="1" t="n">
        <f aca="false">J$2*SIN((PI()*J$1*$A186)/6)</f>
        <v>8.46391524586889E-016</v>
      </c>
      <c r="K186" s="1" t="n">
        <f aca="false">K$2*COS((PI()*K$1*$A186)/6)</f>
        <v>-0.0292829999999973</v>
      </c>
      <c r="L186" s="1" t="n">
        <f aca="false">L$2*SIN((PI()*L$1*$A186)/6)</f>
        <v>-0.014987435637894</v>
      </c>
      <c r="M186" s="1" t="n">
        <f aca="false">M$2*COS((PI()*M$1*$A186)/6)</f>
        <v>0.00132499999999992</v>
      </c>
      <c r="N186" s="1" t="n">
        <f aca="false">N$2*SIN((PI()*N$1*$A186)/6)</f>
        <v>-0.0100320382774391</v>
      </c>
      <c r="O186" s="2" t="n">
        <f aca="false">O$2*(-1)^(A186)</f>
        <v>0.114941</v>
      </c>
      <c r="P186" s="2" t="n">
        <f aca="false">100*LN(C186)</f>
        <v>455.549663174452</v>
      </c>
      <c r="Q186" s="2" t="n">
        <f aca="false">SUM(E186:O186)</f>
        <v>0.439910098437266</v>
      </c>
      <c r="R186" s="2" t="n">
        <f aca="false">P186-Q186</f>
        <v>455.109753076015</v>
      </c>
      <c r="S186" s="1" t="n">
        <f aca="false">EXP(R186/100)</f>
        <v>94.7363273106721</v>
      </c>
      <c r="T186" s="2"/>
      <c r="U186" s="2"/>
      <c r="V186" s="4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L186" s="2"/>
      <c r="AM186" s="5"/>
      <c r="AN186" s="2"/>
      <c r="AO186" s="2"/>
      <c r="AP186" s="2"/>
      <c r="AR186" s="2"/>
      <c r="AS186" s="2"/>
      <c r="AT186" s="2"/>
      <c r="AU186" s="2"/>
      <c r="AW186" s="2"/>
      <c r="AX186" s="2"/>
      <c r="AY186" s="2"/>
      <c r="AZ186" s="2"/>
      <c r="BB186" s="2"/>
      <c r="BC186" s="2"/>
      <c r="BD186" s="2"/>
      <c r="BE186" s="2"/>
    </row>
    <row r="187" customFormat="false" ht="12.8" hidden="false" customHeight="false" outlineLevel="0" collapsed="false">
      <c r="A187" s="2" t="n">
        <v>185</v>
      </c>
      <c r="B187" s="2" t="s">
        <v>191</v>
      </c>
      <c r="C187" s="2" t="n">
        <v>95.097</v>
      </c>
      <c r="D187" s="2" t="n">
        <f aca="false">100*LN(C187)</f>
        <v>455.489742331244</v>
      </c>
      <c r="E187" s="2" t="n">
        <f aca="false">E$2*COS((PI()*E$1*$A187)/6)</f>
        <v>0.139421429755256</v>
      </c>
      <c r="F187" s="2" t="n">
        <f aca="false">F$2*SIN((PI()*F$1*$A187)/6)</f>
        <v>-0.0831380000000015</v>
      </c>
      <c r="G187" s="1" t="n">
        <f aca="false">G$2*COS((PI()*G$1*$A187)/6)</f>
        <v>0.144634499999995</v>
      </c>
      <c r="H187" s="1" t="n">
        <f aca="false">H$2*SIN((PI()*H$1*$A187)/6)</f>
        <v>0.49998331239228</v>
      </c>
      <c r="I187" s="1" t="n">
        <f aca="false">I$2*COS((PI()*I$1*$A187)/6)</f>
        <v>-2.23654342533013E-015</v>
      </c>
      <c r="J187" s="1" t="n">
        <f aca="false">J$2*SIN((PI()*J$1*$A187)/6)</f>
        <v>-0.033221</v>
      </c>
      <c r="K187" s="1" t="n">
        <f aca="false">K$2*COS((PI()*K$1*$A187)/6)</f>
        <v>-0.0292830000000021</v>
      </c>
      <c r="L187" s="1" t="n">
        <f aca="false">L$2*SIN((PI()*L$1*$A187)/6)</f>
        <v>0.0149874356378931</v>
      </c>
      <c r="M187" s="1" t="n">
        <f aca="false">M$2*COS((PI()*M$1*$A187)/6)</f>
        <v>-0.00229496732002876</v>
      </c>
      <c r="N187" s="1" t="n">
        <f aca="false">N$2*SIN((PI()*N$1*$A187)/6)</f>
        <v>0.00579200000000005</v>
      </c>
      <c r="O187" s="2" t="n">
        <f aca="false">O$2*(-1)^(A187)</f>
        <v>-0.114941</v>
      </c>
      <c r="P187" s="2" t="n">
        <f aca="false">100*LN(C187)</f>
        <v>455.489742331244</v>
      </c>
      <c r="Q187" s="2" t="n">
        <f aca="false">SUM(E187:O187)</f>
        <v>0.541940710465389</v>
      </c>
      <c r="R187" s="2" t="n">
        <f aca="false">P187-Q187</f>
        <v>454.947801620779</v>
      </c>
      <c r="S187" s="1" t="n">
        <f aca="false">EXP(R187/100)</f>
        <v>94.5830246214308</v>
      </c>
      <c r="T187" s="2"/>
      <c r="U187" s="2"/>
      <c r="V187" s="4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L187" s="2"/>
      <c r="AM187" s="5"/>
      <c r="AN187" s="2"/>
      <c r="AO187" s="2"/>
      <c r="AP187" s="2"/>
      <c r="AR187" s="2"/>
      <c r="AS187" s="2"/>
      <c r="AT187" s="2"/>
      <c r="AU187" s="2"/>
      <c r="AW187" s="2"/>
      <c r="AX187" s="2"/>
      <c r="AY187" s="2"/>
      <c r="AZ187" s="2"/>
      <c r="BB187" s="2"/>
      <c r="BC187" s="2"/>
      <c r="BD187" s="2"/>
      <c r="BE187" s="2"/>
    </row>
    <row r="188" customFormat="false" ht="12.8" hidden="false" customHeight="false" outlineLevel="0" collapsed="false">
      <c r="A188" s="2" t="n">
        <v>186</v>
      </c>
      <c r="B188" s="2" t="s">
        <v>192</v>
      </c>
      <c r="C188" s="2" t="n">
        <v>95.138</v>
      </c>
      <c r="D188" s="2" t="n">
        <f aca="false">100*LN(C188)</f>
        <v>455.532846913088</v>
      </c>
      <c r="E188" s="2" t="n">
        <f aca="false">E$2*COS((PI()*E$1*$A188)/6)</f>
        <v>0.16099</v>
      </c>
      <c r="F188" s="2" t="n">
        <f aca="false">F$2*SIN((PI()*F$1*$A188)/6)</f>
        <v>-1.22198207029881E-015</v>
      </c>
      <c r="G188" s="1" t="n">
        <f aca="false">G$2*COS((PI()*G$1*$A188)/6)</f>
        <v>0.289269</v>
      </c>
      <c r="H188" s="1" t="n">
        <f aca="false">H$2*SIN((PI()*H$1*$A188)/6)</f>
        <v>8.4857481612221E-015</v>
      </c>
      <c r="I188" s="1" t="n">
        <f aca="false">I$2*COS((PI()*I$1*$A188)/6)</f>
        <v>-0.086102</v>
      </c>
      <c r="J188" s="1" t="n">
        <f aca="false">J$2*SIN((PI()*J$1*$A188)/6)</f>
        <v>-1.20453402708863E-015</v>
      </c>
      <c r="K188" s="1" t="n">
        <f aca="false">K$2*COS((PI()*K$1*$A188)/6)</f>
        <v>0.058566</v>
      </c>
      <c r="L188" s="1" t="n">
        <f aca="false">L$2*SIN((PI()*L$1*$A188)/6)</f>
        <v>5.08735396776233E-016</v>
      </c>
      <c r="M188" s="1" t="n">
        <f aca="false">M$2*COS((PI()*M$1*$A188)/6)</f>
        <v>0.00265</v>
      </c>
      <c r="N188" s="1" t="n">
        <f aca="false">N$2*SIN((PI()*N$1*$A188)/6)</f>
        <v>2.61042417335731E-016</v>
      </c>
      <c r="O188" s="2" t="n">
        <f aca="false">O$2*(-1)^(A188)</f>
        <v>0.114941</v>
      </c>
      <c r="P188" s="2" t="n">
        <f aca="false">100*LN(C188)</f>
        <v>455.532846913088</v>
      </c>
      <c r="Q188" s="2" t="n">
        <f aca="false">SUM(E188:O188)</f>
        <v>0.540314000000007</v>
      </c>
      <c r="R188" s="2" t="n">
        <f aca="false">P188-Q188</f>
        <v>454.992532913088</v>
      </c>
      <c r="S188" s="1" t="n">
        <f aca="false">EXP(R188/100)</f>
        <v>94.6253422945641</v>
      </c>
      <c r="T188" s="2"/>
      <c r="U188" s="2"/>
      <c r="V188" s="4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L188" s="2"/>
      <c r="AM188" s="5"/>
      <c r="AN188" s="2"/>
      <c r="AO188" s="2"/>
      <c r="AP188" s="2"/>
      <c r="AR188" s="2"/>
      <c r="AS188" s="2"/>
      <c r="AT188" s="2"/>
      <c r="AU188" s="2"/>
      <c r="AW188" s="2"/>
      <c r="AX188" s="2"/>
      <c r="AY188" s="2"/>
      <c r="AZ188" s="2"/>
      <c r="BB188" s="2"/>
      <c r="BC188" s="2"/>
      <c r="BD188" s="2"/>
      <c r="BE188" s="2"/>
    </row>
    <row r="189" customFormat="false" ht="12.8" hidden="false" customHeight="false" outlineLevel="0" collapsed="false">
      <c r="A189" s="2" t="n">
        <v>187</v>
      </c>
      <c r="B189" s="2" t="s">
        <v>193</v>
      </c>
      <c r="C189" s="2" t="n">
        <v>94.482</v>
      </c>
      <c r="D189" s="2" t="n">
        <f aca="false">100*LN(C189)</f>
        <v>454.840934016633</v>
      </c>
      <c r="E189" s="2" t="n">
        <f aca="false">E$2*COS((PI()*E$1*$A189)/6)</f>
        <v>0.139421429755256</v>
      </c>
      <c r="F189" s="2" t="n">
        <f aca="false">F$2*SIN((PI()*F$1*$A189)/6)</f>
        <v>0.0831380000000014</v>
      </c>
      <c r="G189" s="1" t="n">
        <f aca="false">G$2*COS((PI()*G$1*$A189)/6)</f>
        <v>0.144634499999995</v>
      </c>
      <c r="H189" s="1" t="n">
        <f aca="false">H$2*SIN((PI()*H$1*$A189)/6)</f>
        <v>-0.499983312392279</v>
      </c>
      <c r="I189" s="1" t="n">
        <f aca="false">I$2*COS((PI()*I$1*$A189)/6)</f>
        <v>1.30831171194387E-015</v>
      </c>
      <c r="J189" s="1" t="n">
        <f aca="false">J$2*SIN((PI()*J$1*$A189)/6)</f>
        <v>0.033221</v>
      </c>
      <c r="K189" s="1" t="n">
        <f aca="false">K$2*COS((PI()*K$1*$A189)/6)</f>
        <v>-0.029283000000002</v>
      </c>
      <c r="L189" s="1" t="n">
        <f aca="false">L$2*SIN((PI()*L$1*$A189)/6)</f>
        <v>-0.0149874356378932</v>
      </c>
      <c r="M189" s="1" t="n">
        <f aca="false">M$2*COS((PI()*M$1*$A189)/6)</f>
        <v>-0.00229496732002877</v>
      </c>
      <c r="N189" s="1" t="n">
        <f aca="false">N$2*SIN((PI()*N$1*$A189)/6)</f>
        <v>-0.00579199999999994</v>
      </c>
      <c r="O189" s="2" t="n">
        <f aca="false">O$2*(-1)^(A189)</f>
        <v>-0.114941</v>
      </c>
      <c r="P189" s="2" t="n">
        <f aca="false">100*LN(C189)</f>
        <v>454.840934016633</v>
      </c>
      <c r="Q189" s="2" t="n">
        <f aca="false">SUM(E189:O189)</f>
        <v>-0.26686678559495</v>
      </c>
      <c r="R189" s="2" t="n">
        <f aca="false">P189-Q189</f>
        <v>455.107800802228</v>
      </c>
      <c r="S189" s="1" t="n">
        <f aca="false">EXP(R189/100)</f>
        <v>94.734477816241</v>
      </c>
      <c r="T189" s="2"/>
      <c r="U189" s="2"/>
      <c r="V189" s="4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L189" s="2"/>
      <c r="AM189" s="5"/>
      <c r="AN189" s="2"/>
      <c r="AO189" s="2"/>
      <c r="AP189" s="2"/>
      <c r="AR189" s="2"/>
      <c r="AS189" s="2"/>
      <c r="AT189" s="2"/>
      <c r="AU189" s="2"/>
      <c r="AW189" s="2"/>
      <c r="AX189" s="2"/>
      <c r="AY189" s="2"/>
      <c r="AZ189" s="2"/>
      <c r="BB189" s="2"/>
      <c r="BC189" s="2"/>
      <c r="BD189" s="2"/>
      <c r="BE189" s="2"/>
    </row>
    <row r="190" customFormat="false" ht="12.8" hidden="false" customHeight="false" outlineLevel="0" collapsed="false">
      <c r="A190" s="2" t="n">
        <v>188</v>
      </c>
      <c r="B190" s="2" t="s">
        <v>194</v>
      </c>
      <c r="C190" s="2" t="n">
        <v>94.67</v>
      </c>
      <c r="D190" s="2" t="n">
        <f aca="false">100*LN(C190)</f>
        <v>455.03971601408</v>
      </c>
      <c r="E190" s="2" t="n">
        <f aca="false">E$2*COS((PI()*E$1*$A190)/6)</f>
        <v>0.0804950000000002</v>
      </c>
      <c r="F190" s="2" t="n">
        <f aca="false">F$2*SIN((PI()*F$1*$A190)/6)</f>
        <v>0.143999240039661</v>
      </c>
      <c r="G190" s="1" t="n">
        <f aca="false">G$2*COS((PI()*G$1*$A190)/6)</f>
        <v>-0.144634499999999</v>
      </c>
      <c r="H190" s="1" t="n">
        <f aca="false">H$2*SIN((PI()*H$1*$A190)/6)</f>
        <v>-0.499983312392275</v>
      </c>
      <c r="I190" s="1" t="n">
        <f aca="false">I$2*COS((PI()*I$1*$A190)/6)</f>
        <v>0.086102</v>
      </c>
      <c r="J190" s="1" t="n">
        <f aca="false">J$2*SIN((PI()*J$1*$A190)/6)</f>
        <v>1.56267652959037E-015</v>
      </c>
      <c r="K190" s="1" t="n">
        <f aca="false">K$2*COS((PI()*K$1*$A190)/6)</f>
        <v>-0.0292830000000003</v>
      </c>
      <c r="L190" s="1" t="n">
        <f aca="false">L$2*SIN((PI()*L$1*$A190)/6)</f>
        <v>0.0149874356378934</v>
      </c>
      <c r="M190" s="1" t="n">
        <f aca="false">M$2*COS((PI()*M$1*$A190)/6)</f>
        <v>0.00132499999999995</v>
      </c>
      <c r="N190" s="1" t="n">
        <f aca="false">N$2*SIN((PI()*N$1*$A190)/6)</f>
        <v>0.0100320382774391</v>
      </c>
      <c r="O190" s="2" t="n">
        <f aca="false">O$2*(-1)^(A190)</f>
        <v>0.114941</v>
      </c>
      <c r="P190" s="2" t="n">
        <f aca="false">100*LN(C190)</f>
        <v>455.03971601408</v>
      </c>
      <c r="Q190" s="2" t="n">
        <f aca="false">SUM(E190:O190)</f>
        <v>-0.222019098437279</v>
      </c>
      <c r="R190" s="2" t="n">
        <f aca="false">P190-Q190</f>
        <v>455.261735112517</v>
      </c>
      <c r="S190" s="1" t="n">
        <f aca="false">EXP(R190/100)</f>
        <v>94.8804189792169</v>
      </c>
      <c r="T190" s="2"/>
      <c r="U190" s="2"/>
      <c r="V190" s="4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L190" s="2"/>
      <c r="AM190" s="5"/>
      <c r="AN190" s="2"/>
      <c r="AO190" s="2"/>
      <c r="AP190" s="2"/>
      <c r="AR190" s="2"/>
      <c r="AS190" s="2"/>
      <c r="AT190" s="2"/>
      <c r="AU190" s="2"/>
      <c r="AW190" s="2"/>
      <c r="AX190" s="2"/>
      <c r="AY190" s="2"/>
      <c r="AZ190" s="2"/>
      <c r="BB190" s="2"/>
      <c r="BC190" s="2"/>
      <c r="BD190" s="2"/>
      <c r="BE190" s="2"/>
    </row>
    <row r="191" customFormat="false" ht="12.8" hidden="false" customHeight="false" outlineLevel="0" collapsed="false">
      <c r="A191" s="2" t="n">
        <v>189</v>
      </c>
      <c r="B191" s="2" t="s">
        <v>195</v>
      </c>
      <c r="C191" s="2" t="n">
        <v>94.835</v>
      </c>
      <c r="D191" s="2" t="n">
        <f aca="false">100*LN(C191)</f>
        <v>455.213853943629</v>
      </c>
      <c r="E191" s="2" t="n">
        <f aca="false">E$2*COS((PI()*E$1*$A191)/6)</f>
        <v>-2.36886014911732E-016</v>
      </c>
      <c r="F191" s="2" t="n">
        <f aca="false">F$2*SIN((PI()*F$1*$A191)/6)</f>
        <v>0.166276</v>
      </c>
      <c r="G191" s="1" t="n">
        <f aca="false">G$2*COS((PI()*G$1*$A191)/6)</f>
        <v>-0.289269</v>
      </c>
      <c r="H191" s="1" t="n">
        <f aca="false">H$2*SIN((PI()*H$1*$A191)/6)</f>
        <v>1.69900788713591E-015</v>
      </c>
      <c r="I191" s="1" t="n">
        <f aca="false">I$2*COS((PI()*I$1*$A191)/6)</f>
        <v>-3.80079998557611E-016</v>
      </c>
      <c r="J191" s="1" t="n">
        <f aca="false">J$2*SIN((PI()*J$1*$A191)/6)</f>
        <v>-0.033221</v>
      </c>
      <c r="K191" s="1" t="n">
        <f aca="false">K$2*COS((PI()*K$1*$A191)/6)</f>
        <v>0.058566</v>
      </c>
      <c r="L191" s="1" t="n">
        <f aca="false">L$2*SIN((PI()*L$1*$A191)/6)</f>
        <v>-1.01858484975773E-016</v>
      </c>
      <c r="M191" s="1" t="n">
        <f aca="false">M$2*COS((PI()*M$1*$A191)/6)</f>
        <v>1.31138571394394E-016</v>
      </c>
      <c r="N191" s="1" t="n">
        <f aca="false">N$2*SIN((PI()*N$1*$A191)/6)</f>
        <v>-0.011584</v>
      </c>
      <c r="O191" s="2" t="n">
        <f aca="false">O$2*(-1)^(A191)</f>
        <v>-0.114941</v>
      </c>
      <c r="P191" s="2" t="n">
        <f aca="false">100*LN(C191)</f>
        <v>455.213853943629</v>
      </c>
      <c r="Q191" s="2" t="n">
        <f aca="false">SUM(E191:O191)</f>
        <v>-0.224172999999999</v>
      </c>
      <c r="R191" s="2" t="n">
        <f aca="false">P191-Q191</f>
        <v>455.438026943629</v>
      </c>
      <c r="S191" s="1" t="n">
        <f aca="false">EXP(R191/100)</f>
        <v>95.0478329324047</v>
      </c>
      <c r="T191" s="2"/>
      <c r="U191" s="2"/>
      <c r="V191" s="4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L191" s="2"/>
      <c r="AM191" s="5"/>
      <c r="AN191" s="2"/>
      <c r="AO191" s="2"/>
      <c r="AP191" s="2"/>
      <c r="AR191" s="2"/>
      <c r="AS191" s="2"/>
      <c r="AT191" s="2"/>
      <c r="AU191" s="2"/>
      <c r="AW191" s="2"/>
      <c r="AX191" s="2"/>
      <c r="AY191" s="2"/>
      <c r="AZ191" s="2"/>
      <c r="BB191" s="2"/>
      <c r="BC191" s="2"/>
      <c r="BD191" s="2"/>
      <c r="BE191" s="2"/>
    </row>
    <row r="192" customFormat="false" ht="12.8" hidden="false" customHeight="false" outlineLevel="0" collapsed="false">
      <c r="A192" s="2" t="n">
        <v>190</v>
      </c>
      <c r="B192" s="2" t="s">
        <v>196</v>
      </c>
      <c r="C192" s="2" t="n">
        <v>95.71</v>
      </c>
      <c r="D192" s="2" t="n">
        <f aca="false">100*LN(C192)</f>
        <v>456.132278620782</v>
      </c>
      <c r="E192" s="2" t="n">
        <f aca="false">E$2*COS((PI()*E$1*$A192)/6)</f>
        <v>-0.0804950000000006</v>
      </c>
      <c r="F192" s="2" t="n">
        <f aca="false">F$2*SIN((PI()*F$1*$A192)/6)</f>
        <v>0.143999240039661</v>
      </c>
      <c r="G192" s="1" t="n">
        <f aca="false">G$2*COS((PI()*G$1*$A192)/6)</f>
        <v>-0.144634499999998</v>
      </c>
      <c r="H192" s="1" t="n">
        <f aca="false">H$2*SIN((PI()*H$1*$A192)/6)</f>
        <v>0.499983312392276</v>
      </c>
      <c r="I192" s="1" t="n">
        <f aca="false">I$2*COS((PI()*I$1*$A192)/6)</f>
        <v>-0.086102</v>
      </c>
      <c r="J192" s="1" t="n">
        <f aca="false">J$2*SIN((PI()*J$1*$A192)/6)</f>
        <v>-3.24238141172108E-017</v>
      </c>
      <c r="K192" s="1" t="n">
        <f aca="false">K$2*COS((PI()*K$1*$A192)/6)</f>
        <v>-0.0292830000000009</v>
      </c>
      <c r="L192" s="1" t="n">
        <f aca="false">L$2*SIN((PI()*L$1*$A192)/6)</f>
        <v>-0.0149874356378933</v>
      </c>
      <c r="M192" s="1" t="n">
        <f aca="false">M$2*COS((PI()*M$1*$A192)/6)</f>
        <v>-0.00132500000000005</v>
      </c>
      <c r="N192" s="1" t="n">
        <f aca="false">N$2*SIN((PI()*N$1*$A192)/6)</f>
        <v>0.0100320382774388</v>
      </c>
      <c r="O192" s="2" t="n">
        <f aca="false">O$2*(-1)^(A192)</f>
        <v>0.114941</v>
      </c>
      <c r="P192" s="2" t="n">
        <f aca="false">100*LN(C192)</f>
        <v>456.132278620782</v>
      </c>
      <c r="Q192" s="2" t="n">
        <f aca="false">SUM(E192:O192)</f>
        <v>0.412128655071483</v>
      </c>
      <c r="R192" s="2" t="n">
        <f aca="false">P192-Q192</f>
        <v>455.72014996571</v>
      </c>
      <c r="S192" s="1" t="n">
        <f aca="false">EXP(R192/100)</f>
        <v>95.3163633660736</v>
      </c>
      <c r="T192" s="2"/>
      <c r="U192" s="2"/>
      <c r="V192" s="4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L192" s="2"/>
      <c r="AM192" s="5"/>
      <c r="AN192" s="2"/>
      <c r="AO192" s="2"/>
      <c r="AP192" s="2"/>
      <c r="AR192" s="2"/>
      <c r="AS192" s="2"/>
      <c r="AT192" s="2"/>
      <c r="AU192" s="2"/>
      <c r="AW192" s="2"/>
      <c r="AX192" s="2"/>
      <c r="AY192" s="2"/>
      <c r="AZ192" s="2"/>
      <c r="BB192" s="2"/>
      <c r="BC192" s="2"/>
      <c r="BD192" s="2"/>
      <c r="BE192" s="2"/>
    </row>
    <row r="193" customFormat="false" ht="12.8" hidden="false" customHeight="false" outlineLevel="0" collapsed="false">
      <c r="A193" s="2" t="n">
        <v>191</v>
      </c>
      <c r="B193" s="2" t="s">
        <v>197</v>
      </c>
      <c r="C193" s="2" t="n">
        <v>96.147</v>
      </c>
      <c r="D193" s="2" t="n">
        <f aca="false">100*LN(C193)</f>
        <v>456.587827029997</v>
      </c>
      <c r="E193" s="2" t="n">
        <f aca="false">E$2*COS((PI()*E$1*$A193)/6)</f>
        <v>-0.139421429755256</v>
      </c>
      <c r="F193" s="2" t="n">
        <f aca="false">F$2*SIN((PI()*F$1*$A193)/6)</f>
        <v>0.083138000000001</v>
      </c>
      <c r="G193" s="1" t="n">
        <f aca="false">G$2*COS((PI()*G$1*$A193)/6)</f>
        <v>0.144634499999997</v>
      </c>
      <c r="H193" s="1" t="n">
        <f aca="false">H$2*SIN((PI()*H$1*$A193)/6)</f>
        <v>0.499983312392278</v>
      </c>
      <c r="I193" s="1" t="n">
        <f aca="false">I$2*COS((PI()*I$1*$A193)/6)</f>
        <v>-5.4815171482865E-016</v>
      </c>
      <c r="J193" s="1" t="n">
        <f aca="false">J$2*SIN((PI()*J$1*$A193)/6)</f>
        <v>0.033221</v>
      </c>
      <c r="K193" s="1" t="n">
        <f aca="false">K$2*COS((PI()*K$1*$A193)/6)</f>
        <v>-0.0292830000000014</v>
      </c>
      <c r="L193" s="1" t="n">
        <f aca="false">L$2*SIN((PI()*L$1*$A193)/6)</f>
        <v>0.0149874356378933</v>
      </c>
      <c r="M193" s="1" t="n">
        <f aca="false">M$2*COS((PI()*M$1*$A193)/6)</f>
        <v>0.00229496732002883</v>
      </c>
      <c r="N193" s="1" t="n">
        <f aca="false">N$2*SIN((PI()*N$1*$A193)/6)</f>
        <v>-0.00579199999999951</v>
      </c>
      <c r="O193" s="2" t="n">
        <f aca="false">O$2*(-1)^(A193)</f>
        <v>-0.114941</v>
      </c>
      <c r="P193" s="2" t="n">
        <f aca="false">100*LN(C193)</f>
        <v>456.587827029997</v>
      </c>
      <c r="Q193" s="2" t="n">
        <f aca="false">SUM(E193:O193)</f>
        <v>0.48882178559494</v>
      </c>
      <c r="R193" s="2" t="n">
        <f aca="false">P193-Q193</f>
        <v>456.099005244402</v>
      </c>
      <c r="S193" s="1" t="n">
        <f aca="false">EXP(R193/100)</f>
        <v>95.6781593489908</v>
      </c>
      <c r="T193" s="2"/>
      <c r="U193" s="2"/>
      <c r="V193" s="4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L193" s="2"/>
      <c r="AM193" s="5"/>
      <c r="AN193" s="2"/>
      <c r="AO193" s="2"/>
      <c r="AP193" s="2"/>
      <c r="AR193" s="2"/>
      <c r="AS193" s="2"/>
      <c r="AT193" s="2"/>
      <c r="AU193" s="2"/>
      <c r="AW193" s="2"/>
      <c r="AX193" s="2"/>
      <c r="AY193" s="2"/>
      <c r="AZ193" s="2"/>
      <c r="BB193" s="2"/>
      <c r="BC193" s="2"/>
      <c r="BD193" s="2"/>
      <c r="BE193" s="2"/>
    </row>
    <row r="194" customFormat="false" ht="12.8" hidden="false" customHeight="false" outlineLevel="0" collapsed="false">
      <c r="A194" s="2" t="n">
        <v>192</v>
      </c>
      <c r="B194" s="2" t="s">
        <v>198</v>
      </c>
      <c r="C194" s="2" t="n">
        <v>96.19</v>
      </c>
      <c r="D194" s="2" t="n">
        <f aca="false">100*LN(C194)</f>
        <v>456.632540216452</v>
      </c>
      <c r="E194" s="2" t="n">
        <f aca="false">E$2*COS((PI()*E$1*$A194)/6)</f>
        <v>-0.16099</v>
      </c>
      <c r="F194" s="2" t="n">
        <f aca="false">F$2*SIN((PI()*F$1*$A194)/6)</f>
        <v>6.51613987760081E-016</v>
      </c>
      <c r="G194" s="1" t="n">
        <f aca="false">G$2*COS((PI()*G$1*$A194)/6)</f>
        <v>0.289269</v>
      </c>
      <c r="H194" s="1" t="n">
        <f aca="false">H$2*SIN((PI()*H$1*$A194)/6)</f>
        <v>4.52496999167066E-015</v>
      </c>
      <c r="I194" s="1" t="n">
        <f aca="false">I$2*COS((PI()*I$1*$A194)/6)</f>
        <v>0.086102</v>
      </c>
      <c r="J194" s="1" t="n">
        <f aca="false">J$2*SIN((PI()*J$1*$A194)/6)</f>
        <v>3.90566316618953E-016</v>
      </c>
      <c r="K194" s="1" t="n">
        <f aca="false">K$2*COS((PI()*K$1*$A194)/6)</f>
        <v>0.058566</v>
      </c>
      <c r="L194" s="1" t="n">
        <f aca="false">L$2*SIN((PI()*L$1*$A194)/6)</f>
        <v>2.71279840077364E-016</v>
      </c>
      <c r="M194" s="1" t="n">
        <f aca="false">M$2*COS((PI()*M$1*$A194)/6)</f>
        <v>-0.00265</v>
      </c>
      <c r="N194" s="1" t="n">
        <f aca="false">N$2*SIN((PI()*N$1*$A194)/6)</f>
        <v>-8.85455100424767E-016</v>
      </c>
      <c r="O194" s="2" t="n">
        <f aca="false">O$2*(-1)^(A194)</f>
        <v>0.114941</v>
      </c>
      <c r="P194" s="2" t="n">
        <f aca="false">100*LN(C194)</f>
        <v>456.632540216452</v>
      </c>
      <c r="Q194" s="2" t="n">
        <f aca="false">SUM(E194:O194)</f>
        <v>0.385238000000005</v>
      </c>
      <c r="R194" s="2" t="n">
        <f aca="false">P194-Q194</f>
        <v>456.247302216452</v>
      </c>
      <c r="S194" s="1" t="n">
        <f aca="false">EXP(R194/100)</f>
        <v>95.8201524219101</v>
      </c>
      <c r="T194" s="2"/>
      <c r="U194" s="2"/>
      <c r="V194" s="4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L194" s="2"/>
      <c r="AM194" s="5"/>
      <c r="AN194" s="2"/>
      <c r="AO194" s="2"/>
      <c r="AP194" s="2"/>
      <c r="AR194" s="2"/>
      <c r="AS194" s="2"/>
      <c r="AT194" s="2"/>
      <c r="AU194" s="2"/>
      <c r="AW194" s="2"/>
      <c r="AX194" s="2"/>
      <c r="AY194" s="2"/>
      <c r="AZ194" s="2"/>
      <c r="BB194" s="2"/>
      <c r="BC194" s="2"/>
      <c r="BD194" s="2"/>
      <c r="BE194" s="2"/>
    </row>
    <row r="195" customFormat="false" ht="12.8" hidden="false" customHeight="false" outlineLevel="0" collapsed="false">
      <c r="A195" s="2" t="n">
        <v>193</v>
      </c>
      <c r="B195" s="2" t="s">
        <v>199</v>
      </c>
      <c r="C195" s="2" t="n">
        <v>95.153</v>
      </c>
      <c r="D195" s="2" t="n">
        <f aca="false">100*LN(C195)</f>
        <v>455.54861224096</v>
      </c>
      <c r="E195" s="2" t="n">
        <f aca="false">E$2*COS((PI()*E$1*$A195)/6)</f>
        <v>-0.139421429755257</v>
      </c>
      <c r="F195" s="2" t="n">
        <f aca="false">F$2*SIN((PI()*F$1*$A195)/6)</f>
        <v>-0.0831379999999999</v>
      </c>
      <c r="G195" s="1" t="n">
        <f aca="false">G$2*COS((PI()*G$1*$A195)/6)</f>
        <v>0.1446345</v>
      </c>
      <c r="H195" s="1" t="n">
        <f aca="false">H$2*SIN((PI()*H$1*$A195)/6)</f>
        <v>-0.499983312392273</v>
      </c>
      <c r="I195" s="1" t="n">
        <f aca="false">I$2*COS((PI()*I$1*$A195)/6)</f>
        <v>1.47638342821491E-015</v>
      </c>
      <c r="J195" s="1" t="n">
        <f aca="false">J$2*SIN((PI()*J$1*$A195)/6)</f>
        <v>-0.033221</v>
      </c>
      <c r="K195" s="1" t="n">
        <f aca="false">K$2*COS((PI()*K$1*$A195)/6)</f>
        <v>-0.0292829999999998</v>
      </c>
      <c r="L195" s="1" t="n">
        <f aca="false">L$2*SIN((PI()*L$1*$A195)/6)</f>
        <v>-0.0149874356378935</v>
      </c>
      <c r="M195" s="1" t="n">
        <f aca="false">M$2*COS((PI()*M$1*$A195)/6)</f>
        <v>0.00229496732002877</v>
      </c>
      <c r="N195" s="1" t="n">
        <f aca="false">N$2*SIN((PI()*N$1*$A195)/6)</f>
        <v>0.00579199999999991</v>
      </c>
      <c r="O195" s="2" t="n">
        <f aca="false">O$2*(-1)^(A195)</f>
        <v>-0.114941</v>
      </c>
      <c r="P195" s="2" t="n">
        <f aca="false">100*LN(C195)</f>
        <v>455.54861224096</v>
      </c>
      <c r="Q195" s="2" t="n">
        <f aca="false">SUM(E195:O195)</f>
        <v>-0.762253710465393</v>
      </c>
      <c r="R195" s="2" t="n">
        <f aca="false">P195-Q195</f>
        <v>456.310865951426</v>
      </c>
      <c r="S195" s="1" t="n">
        <f aca="false">EXP(R195/100)</f>
        <v>95.8810786510885</v>
      </c>
      <c r="T195" s="2"/>
      <c r="U195" s="2"/>
      <c r="V195" s="4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L195" s="2"/>
      <c r="AM195" s="5"/>
      <c r="AN195" s="2"/>
      <c r="AO195" s="2"/>
      <c r="AP195" s="2"/>
      <c r="AR195" s="2"/>
      <c r="AS195" s="2"/>
      <c r="AT195" s="2"/>
      <c r="AU195" s="2"/>
      <c r="AW195" s="2"/>
      <c r="AX195" s="2"/>
      <c r="AY195" s="2"/>
      <c r="AZ195" s="2"/>
      <c r="BB195" s="2"/>
      <c r="BC195" s="2"/>
      <c r="BD195" s="2"/>
      <c r="BE195" s="2"/>
    </row>
    <row r="196" customFormat="false" ht="12.8" hidden="false" customHeight="false" outlineLevel="0" collapsed="false">
      <c r="A196" s="2" t="n">
        <v>194</v>
      </c>
      <c r="B196" s="2" t="s">
        <v>200</v>
      </c>
      <c r="C196" s="2" t="n">
        <v>95.281</v>
      </c>
      <c r="D196" s="2" t="n">
        <f aca="false">100*LN(C196)</f>
        <v>455.6830420374</v>
      </c>
      <c r="E196" s="2" t="n">
        <f aca="false">E$2*COS((PI()*E$1*$A196)/6)</f>
        <v>-0.0804950000000017</v>
      </c>
      <c r="F196" s="2" t="n">
        <f aca="false">F$2*SIN((PI()*F$1*$A196)/6)</f>
        <v>-0.14399924003966</v>
      </c>
      <c r="G196" s="1" t="n">
        <f aca="false">G$2*COS((PI()*G$1*$A196)/6)</f>
        <v>-0.144634499999994</v>
      </c>
      <c r="H196" s="1" t="n">
        <f aca="false">H$2*SIN((PI()*H$1*$A196)/6)</f>
        <v>-0.499983312392281</v>
      </c>
      <c r="I196" s="1" t="n">
        <f aca="false">I$2*COS((PI()*I$1*$A196)/6)</f>
        <v>-0.086102</v>
      </c>
      <c r="J196" s="1" t="n">
        <f aca="false">J$2*SIN((PI()*J$1*$A196)/6)</f>
        <v>-7.48708819120694E-016</v>
      </c>
      <c r="K196" s="1" t="n">
        <f aca="false">K$2*COS((PI()*K$1*$A196)/6)</f>
        <v>-0.0292830000000025</v>
      </c>
      <c r="L196" s="1" t="n">
        <f aca="false">L$2*SIN((PI()*L$1*$A196)/6)</f>
        <v>0.0149874356378931</v>
      </c>
      <c r="M196" s="1" t="n">
        <f aca="false">M$2*COS((PI()*M$1*$A196)/6)</f>
        <v>-0.00132499999999996</v>
      </c>
      <c r="N196" s="1" t="n">
        <f aca="false">N$2*SIN((PI()*N$1*$A196)/6)</f>
        <v>-0.010032038277439</v>
      </c>
      <c r="O196" s="2" t="n">
        <f aca="false">O$2*(-1)^(A196)</f>
        <v>0.114941</v>
      </c>
      <c r="P196" s="2" t="n">
        <f aca="false">100*LN(C196)</f>
        <v>455.6830420374</v>
      </c>
      <c r="Q196" s="2" t="n">
        <f aca="false">SUM(E196:O196)</f>
        <v>-0.865925655071486</v>
      </c>
      <c r="R196" s="2" t="n">
        <f aca="false">P196-Q196</f>
        <v>456.548967692472</v>
      </c>
      <c r="S196" s="1" t="n">
        <f aca="false">EXP(R196/100)</f>
        <v>96.109645171139</v>
      </c>
      <c r="T196" s="2"/>
      <c r="U196" s="2"/>
      <c r="V196" s="4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L196" s="2"/>
      <c r="AM196" s="5"/>
      <c r="AN196" s="2"/>
      <c r="AO196" s="2"/>
      <c r="AP196" s="2"/>
      <c r="AR196" s="2"/>
      <c r="AS196" s="2"/>
      <c r="AT196" s="2"/>
      <c r="AU196" s="2"/>
      <c r="AW196" s="2"/>
      <c r="AX196" s="2"/>
      <c r="AY196" s="2"/>
      <c r="AZ196" s="2"/>
      <c r="BB196" s="2"/>
      <c r="BC196" s="2"/>
      <c r="BD196" s="2"/>
      <c r="BE196" s="2"/>
    </row>
    <row r="197" customFormat="false" ht="12.8" hidden="false" customHeight="false" outlineLevel="0" collapsed="false">
      <c r="A197" s="2" t="n">
        <v>195</v>
      </c>
      <c r="B197" s="2" t="s">
        <v>201</v>
      </c>
      <c r="C197" s="2" t="n">
        <v>95.393</v>
      </c>
      <c r="D197" s="2" t="n">
        <f aca="false">100*LN(C197)</f>
        <v>455.800520050009</v>
      </c>
      <c r="E197" s="2" t="n">
        <f aca="false">E$2*COS((PI()*E$1*$A197)/6)</f>
        <v>-1.49868369935802E-015</v>
      </c>
      <c r="F197" s="2" t="n">
        <f aca="false">F$2*SIN((PI()*F$1*$A197)/6)</f>
        <v>-0.166276</v>
      </c>
      <c r="G197" s="1" t="n">
        <f aca="false">G$2*COS((PI()*G$1*$A197)/6)</f>
        <v>-0.289269</v>
      </c>
      <c r="H197" s="1" t="n">
        <f aca="false">H$2*SIN((PI()*H$1*$A197)/6)</f>
        <v>-1.07489478704772E-014</v>
      </c>
      <c r="I197" s="1" t="n">
        <f aca="false">I$2*COS((PI()*I$1*$A197)/6)</f>
        <v>-2.40461514160117E-015</v>
      </c>
      <c r="J197" s="1" t="n">
        <f aca="false">J$2*SIN((PI()*J$1*$A197)/6)</f>
        <v>0.033221</v>
      </c>
      <c r="K197" s="1" t="n">
        <f aca="false">K$2*COS((PI()*K$1*$A197)/6)</f>
        <v>0.058566</v>
      </c>
      <c r="L197" s="1" t="n">
        <f aca="false">L$2*SIN((PI()*L$1*$A197)/6)</f>
        <v>6.44418165130502E-016</v>
      </c>
      <c r="M197" s="1" t="n">
        <f aca="false">M$2*COS((PI()*M$1*$A197)/6)</f>
        <v>2.72885228266984E-017</v>
      </c>
      <c r="N197" s="1" t="n">
        <f aca="false">N$2*SIN((PI()*N$1*$A197)/6)</f>
        <v>0.011584</v>
      </c>
      <c r="O197" s="2" t="n">
        <f aca="false">O$2*(-1)^(A197)</f>
        <v>-0.114941</v>
      </c>
      <c r="P197" s="2" t="n">
        <f aca="false">100*LN(C197)</f>
        <v>455.800520050009</v>
      </c>
      <c r="Q197" s="2" t="n">
        <f aca="false">SUM(E197:O197)</f>
        <v>-0.467115000000014</v>
      </c>
      <c r="R197" s="2" t="n">
        <f aca="false">P197-Q197</f>
        <v>456.267635050009</v>
      </c>
      <c r="S197" s="1" t="n">
        <f aca="false">EXP(R197/100)</f>
        <v>95.8396373548681</v>
      </c>
      <c r="T197" s="2"/>
      <c r="U197" s="2"/>
      <c r="V197" s="4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L197" s="2"/>
      <c r="AM197" s="5"/>
      <c r="AN197" s="2"/>
      <c r="AO197" s="2"/>
      <c r="AP197" s="2"/>
      <c r="AR197" s="2"/>
      <c r="AS197" s="2"/>
      <c r="AT197" s="2"/>
      <c r="AU197" s="2"/>
      <c r="AW197" s="2"/>
      <c r="AX197" s="2"/>
      <c r="AY197" s="2"/>
      <c r="AZ197" s="2"/>
      <c r="BB197" s="2"/>
      <c r="BC197" s="2"/>
      <c r="BD197" s="2"/>
      <c r="BE197" s="2"/>
    </row>
    <row r="198" customFormat="false" ht="12.8" hidden="false" customHeight="false" outlineLevel="0" collapsed="false">
      <c r="A198" s="2" t="n">
        <v>196</v>
      </c>
      <c r="B198" s="2" t="s">
        <v>202</v>
      </c>
      <c r="C198" s="2" t="n">
        <v>96.181</v>
      </c>
      <c r="D198" s="2" t="n">
        <f aca="false">100*LN(C198)</f>
        <v>456.623183296744</v>
      </c>
      <c r="E198" s="2" t="n">
        <f aca="false">E$2*COS((PI()*E$1*$A198)/6)</f>
        <v>0.0804949999999991</v>
      </c>
      <c r="F198" s="2" t="n">
        <f aca="false">F$2*SIN((PI()*F$1*$A198)/6)</f>
        <v>-0.143999240039662</v>
      </c>
      <c r="G198" s="1" t="n">
        <f aca="false">G$2*COS((PI()*G$1*$A198)/6)</f>
        <v>-0.144634500000003</v>
      </c>
      <c r="H198" s="1" t="n">
        <f aca="false">H$2*SIN((PI()*H$1*$A198)/6)</f>
        <v>0.49998331239227</v>
      </c>
      <c r="I198" s="1" t="n">
        <f aca="false">I$2*COS((PI()*I$1*$A198)/6)</f>
        <v>0.086102</v>
      </c>
      <c r="J198" s="1" t="n">
        <f aca="false">J$2*SIN((PI()*J$1*$A198)/6)</f>
        <v>-7.81543896352467E-016</v>
      </c>
      <c r="K198" s="1" t="n">
        <f aca="false">K$2*COS((PI()*K$1*$A198)/6)</f>
        <v>-0.0292829999999987</v>
      </c>
      <c r="L198" s="1" t="n">
        <f aca="false">L$2*SIN((PI()*L$1*$A198)/6)</f>
        <v>-0.0149874356378937</v>
      </c>
      <c r="M198" s="1" t="n">
        <f aca="false">M$2*COS((PI()*M$1*$A198)/6)</f>
        <v>0.00132500000000004</v>
      </c>
      <c r="N198" s="1" t="n">
        <f aca="false">N$2*SIN((PI()*N$1*$A198)/6)</f>
        <v>-0.0100320382774388</v>
      </c>
      <c r="O198" s="2" t="n">
        <f aca="false">O$2*(-1)^(A198)</f>
        <v>0.114941</v>
      </c>
      <c r="P198" s="2" t="n">
        <f aca="false">100*LN(C198)</f>
        <v>456.623183296744</v>
      </c>
      <c r="Q198" s="2" t="n">
        <f aca="false">SUM(E198:O198)</f>
        <v>0.439910098437272</v>
      </c>
      <c r="R198" s="2" t="n">
        <f aca="false">P198-Q198</f>
        <v>456.183273198306</v>
      </c>
      <c r="S198" s="1" t="n">
        <f aca="false">EXP(R198/100)</f>
        <v>95.7588193567033</v>
      </c>
      <c r="T198" s="2"/>
      <c r="U198" s="2"/>
      <c r="V198" s="4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L198" s="2"/>
      <c r="AM198" s="5"/>
      <c r="AN198" s="2"/>
      <c r="AO198" s="2"/>
      <c r="AP198" s="2"/>
      <c r="AR198" s="2"/>
      <c r="AS198" s="2"/>
      <c r="AT198" s="2"/>
      <c r="AU198" s="2"/>
      <c r="AW198" s="2"/>
      <c r="AX198" s="2"/>
      <c r="AY198" s="2"/>
      <c r="AZ198" s="2"/>
      <c r="BB198" s="2"/>
      <c r="BC198" s="2"/>
      <c r="BD198" s="2"/>
      <c r="BE198" s="2"/>
    </row>
    <row r="199" customFormat="false" ht="12.8" hidden="false" customHeight="false" outlineLevel="0" collapsed="false">
      <c r="A199" s="2" t="n">
        <v>197</v>
      </c>
      <c r="B199" s="2" t="s">
        <v>203</v>
      </c>
      <c r="C199" s="2" t="n">
        <v>97.048</v>
      </c>
      <c r="D199" s="2" t="n">
        <f aca="false">100*LN(C199)</f>
        <v>457.520570146862</v>
      </c>
      <c r="E199" s="2" t="n">
        <f aca="false">E$2*COS((PI()*E$1*$A199)/6)</f>
        <v>0.139421429755255</v>
      </c>
      <c r="F199" s="2" t="n">
        <f aca="false">F$2*SIN((PI()*F$1*$A199)/6)</f>
        <v>-0.0831380000000026</v>
      </c>
      <c r="G199" s="1" t="n">
        <f aca="false">G$2*COS((PI()*G$1*$A199)/6)</f>
        <v>0.144634499999991</v>
      </c>
      <c r="H199" s="1" t="n">
        <f aca="false">H$2*SIN((PI()*H$1*$A199)/6)</f>
        <v>0.499983312392284</v>
      </c>
      <c r="I199" s="1" t="n">
        <f aca="false">I$2*COS((PI()*I$1*$A199)/6)</f>
        <v>3.33284685498743E-015</v>
      </c>
      <c r="J199" s="1" t="n">
        <f aca="false">J$2*SIN((PI()*J$1*$A199)/6)</f>
        <v>-0.033221</v>
      </c>
      <c r="K199" s="1" t="n">
        <f aca="false">K$2*COS((PI()*K$1*$A199)/6)</f>
        <v>-0.0292830000000036</v>
      </c>
      <c r="L199" s="1" t="n">
        <f aca="false">L$2*SIN((PI()*L$1*$A199)/6)</f>
        <v>0.0149874356378929</v>
      </c>
      <c r="M199" s="1" t="n">
        <f aca="false">M$2*COS((PI()*M$1*$A199)/6)</f>
        <v>-0.00229496732002882</v>
      </c>
      <c r="N199" s="1" t="n">
        <f aca="false">N$2*SIN((PI()*N$1*$A199)/6)</f>
        <v>0.00579199999999954</v>
      </c>
      <c r="O199" s="2" t="n">
        <f aca="false">O$2*(-1)^(A199)</f>
        <v>-0.114941</v>
      </c>
      <c r="P199" s="2" t="n">
        <f aca="false">100*LN(C199)</f>
        <v>457.520570146862</v>
      </c>
      <c r="Q199" s="2" t="n">
        <f aca="false">SUM(E199:O199)</f>
        <v>0.541940710465391</v>
      </c>
      <c r="R199" s="2" t="n">
        <f aca="false">P199-Q199</f>
        <v>456.978629436397</v>
      </c>
      <c r="S199" s="1" t="n">
        <f aca="false">EXP(R199/100)</f>
        <v>96.5234799568927</v>
      </c>
      <c r="T199" s="2"/>
      <c r="U199" s="2"/>
      <c r="V199" s="4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L199" s="2"/>
      <c r="AM199" s="5"/>
      <c r="AN199" s="2"/>
      <c r="AO199" s="2"/>
      <c r="AP199" s="2"/>
      <c r="AR199" s="2"/>
      <c r="AS199" s="2"/>
      <c r="AT199" s="2"/>
      <c r="AU199" s="2"/>
      <c r="AW199" s="2"/>
      <c r="AX199" s="2"/>
      <c r="AY199" s="2"/>
      <c r="AZ199" s="2"/>
      <c r="BB199" s="2"/>
      <c r="BC199" s="2"/>
      <c r="BD199" s="2"/>
      <c r="BE199" s="2"/>
    </row>
    <row r="200" customFormat="false" ht="12.8" hidden="false" customHeight="false" outlineLevel="0" collapsed="false">
      <c r="A200" s="2" t="n">
        <v>198</v>
      </c>
      <c r="B200" s="2" t="s">
        <v>204</v>
      </c>
      <c r="C200" s="2" t="n">
        <v>97.302</v>
      </c>
      <c r="D200" s="2" t="n">
        <f aca="false">100*LN(C200)</f>
        <v>457.781954396529</v>
      </c>
      <c r="E200" s="2" t="n">
        <f aca="false">E$2*COS((PI()*E$1*$A200)/6)</f>
        <v>0.16099</v>
      </c>
      <c r="F200" s="2" t="n">
        <f aca="false">F$2*SIN((PI()*F$1*$A200)/6)</f>
        <v>-8.12459052213514E-017</v>
      </c>
      <c r="G200" s="1" t="n">
        <f aca="false">G$2*COS((PI()*G$1*$A200)/6)</f>
        <v>0.289269</v>
      </c>
      <c r="H200" s="1" t="n">
        <f aca="false">H$2*SIN((PI()*H$1*$A200)/6)</f>
        <v>5.64191822119224E-016</v>
      </c>
      <c r="I200" s="1" t="n">
        <f aca="false">I$2*COS((PI()*I$1*$A200)/6)</f>
        <v>-0.086102</v>
      </c>
      <c r="J200" s="1" t="n">
        <f aca="false">J$2*SIN((PI()*J$1*$A200)/6)</f>
        <v>4.23401393850725E-016</v>
      </c>
      <c r="K200" s="1" t="n">
        <f aca="false">K$2*COS((PI()*K$1*$A200)/6)</f>
        <v>0.058566</v>
      </c>
      <c r="L200" s="1" t="n">
        <f aca="false">L$2*SIN((PI()*L$1*$A200)/6)</f>
        <v>3.38242833784962E-017</v>
      </c>
      <c r="M200" s="1" t="n">
        <f aca="false">M$2*COS((PI()*M$1*$A200)/6)</f>
        <v>0.00265</v>
      </c>
      <c r="N200" s="1" t="n">
        <f aca="false">N$2*SIN((PI()*N$1*$A200)/6)</f>
        <v>-4.65554708736997E-016</v>
      </c>
      <c r="O200" s="2" t="n">
        <f aca="false">O$2*(-1)^(A200)</f>
        <v>0.114941</v>
      </c>
      <c r="P200" s="2" t="n">
        <f aca="false">100*LN(C200)</f>
        <v>457.781954396529</v>
      </c>
      <c r="Q200" s="2" t="n">
        <f aca="false">SUM(E200:O200)</f>
        <v>0.540314</v>
      </c>
      <c r="R200" s="2" t="n">
        <f aca="false">P200-Q200</f>
        <v>457.241640396529</v>
      </c>
      <c r="S200" s="1" t="n">
        <f aca="false">EXP(R200/100)</f>
        <v>96.7776814306131</v>
      </c>
      <c r="T200" s="2"/>
      <c r="U200" s="2"/>
      <c r="V200" s="4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L200" s="2"/>
      <c r="AM200" s="5"/>
      <c r="AN200" s="2"/>
      <c r="AO200" s="2"/>
      <c r="AP200" s="2"/>
      <c r="AR200" s="2"/>
      <c r="AS200" s="2"/>
      <c r="AT200" s="2"/>
      <c r="AU200" s="2"/>
      <c r="AW200" s="2"/>
      <c r="AX200" s="2"/>
      <c r="AY200" s="2"/>
      <c r="AZ200" s="2"/>
      <c r="BB200" s="2"/>
      <c r="BC200" s="2"/>
      <c r="BD200" s="2"/>
      <c r="BE200" s="2"/>
    </row>
    <row r="201" customFormat="false" ht="12.8" hidden="false" customHeight="false" outlineLevel="0" collapsed="false">
      <c r="A201" s="2" t="n">
        <v>199</v>
      </c>
      <c r="B201" s="2" t="s">
        <v>205</v>
      </c>
      <c r="C201" s="2" t="n">
        <v>96.604</v>
      </c>
      <c r="D201" s="2" t="n">
        <f aca="false">100*LN(C201)</f>
        <v>457.062014822869</v>
      </c>
      <c r="E201" s="2" t="n">
        <f aca="false">E$2*COS((PI()*E$1*$A201)/6)</f>
        <v>0.139421429755257</v>
      </c>
      <c r="F201" s="2" t="n">
        <f aca="false">F$2*SIN((PI()*F$1*$A201)/6)</f>
        <v>0.0831380000000004</v>
      </c>
      <c r="G201" s="1" t="n">
        <f aca="false">G$2*COS((PI()*G$1*$A201)/6)</f>
        <v>0.144634499999999</v>
      </c>
      <c r="H201" s="1" t="n">
        <f aca="false">H$2*SIN((PI()*H$1*$A201)/6)</f>
        <v>-0.499983312392275</v>
      </c>
      <c r="I201" s="1" t="n">
        <f aca="false">I$2*COS((PI()*I$1*$A201)/6)</f>
        <v>-4.26107856837369E-015</v>
      </c>
      <c r="J201" s="1" t="n">
        <f aca="false">J$2*SIN((PI()*J$1*$A201)/6)</f>
        <v>0.033221</v>
      </c>
      <c r="K201" s="1" t="n">
        <f aca="false">K$2*COS((PI()*K$1*$A201)/6)</f>
        <v>-0.0292830000000005</v>
      </c>
      <c r="L201" s="1" t="n">
        <f aca="false">L$2*SIN((PI()*L$1*$A201)/6)</f>
        <v>-0.0149874356378934</v>
      </c>
      <c r="M201" s="1" t="n">
        <f aca="false">M$2*COS((PI()*M$1*$A201)/6)</f>
        <v>-0.00229496732002878</v>
      </c>
      <c r="N201" s="1" t="n">
        <f aca="false">N$2*SIN((PI()*N$1*$A201)/6)</f>
        <v>-0.00579199999999988</v>
      </c>
      <c r="O201" s="2" t="n">
        <f aca="false">O$2*(-1)^(A201)</f>
        <v>-0.114941</v>
      </c>
      <c r="P201" s="2" t="n">
        <f aca="false">100*LN(C201)</f>
        <v>457.062014822869</v>
      </c>
      <c r="Q201" s="2" t="n">
        <f aca="false">SUM(E201:O201)</f>
        <v>-0.266866785594946</v>
      </c>
      <c r="R201" s="2" t="n">
        <f aca="false">P201-Q201</f>
        <v>457.328881608464</v>
      </c>
      <c r="S201" s="1" t="n">
        <f aca="false">EXP(R201/100)</f>
        <v>96.8621482923747</v>
      </c>
      <c r="T201" s="2"/>
      <c r="U201" s="2"/>
      <c r="V201" s="4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L201" s="2"/>
      <c r="AM201" s="5"/>
      <c r="AN201" s="2"/>
      <c r="AO201" s="2"/>
      <c r="AP201" s="2"/>
      <c r="AR201" s="2"/>
      <c r="AS201" s="2"/>
      <c r="AT201" s="2"/>
      <c r="AU201" s="2"/>
      <c r="AW201" s="2"/>
      <c r="AX201" s="2"/>
      <c r="AY201" s="2"/>
      <c r="AZ201" s="2"/>
      <c r="BB201" s="2"/>
      <c r="BC201" s="2"/>
      <c r="BD201" s="2"/>
      <c r="BE201" s="2"/>
    </row>
    <row r="202" customFormat="false" ht="12.8" hidden="false" customHeight="false" outlineLevel="0" collapsed="false">
      <c r="A202" s="2" t="n">
        <v>200</v>
      </c>
      <c r="B202" s="2" t="s">
        <v>206</v>
      </c>
      <c r="C202" s="2" t="n">
        <v>96.742</v>
      </c>
      <c r="D202" s="2" t="n">
        <f aca="false">100*LN(C202)</f>
        <v>457.20476411526</v>
      </c>
      <c r="E202" s="2" t="n">
        <f aca="false">E$2*COS((PI()*E$1*$A202)/6)</f>
        <v>0.0804949999999993</v>
      </c>
      <c r="F202" s="2" t="n">
        <f aca="false">F$2*SIN((PI()*F$1*$A202)/6)</f>
        <v>0.143999240039662</v>
      </c>
      <c r="G202" s="1" t="n">
        <f aca="false">G$2*COS((PI()*G$1*$A202)/6)</f>
        <v>-0.144634500000003</v>
      </c>
      <c r="H202" s="1" t="n">
        <f aca="false">H$2*SIN((PI()*H$1*$A202)/6)</f>
        <v>-0.499983312392271</v>
      </c>
      <c r="I202" s="1" t="n">
        <f aca="false">I$2*COS((PI()*I$1*$A202)/6)</f>
        <v>0.086102</v>
      </c>
      <c r="J202" s="1" t="n">
        <f aca="false">J$2*SIN((PI()*J$1*$A202)/6)</f>
        <v>-6.52588913489836E-017</v>
      </c>
      <c r="K202" s="1" t="n">
        <f aca="false">K$2*COS((PI()*K$1*$A202)/6)</f>
        <v>-0.0292829999999989</v>
      </c>
      <c r="L202" s="1" t="n">
        <f aca="false">L$2*SIN((PI()*L$1*$A202)/6)</f>
        <v>0.0149874356378937</v>
      </c>
      <c r="M202" s="1" t="n">
        <f aca="false">M$2*COS((PI()*M$1*$A202)/6)</f>
        <v>0.00132499999999996</v>
      </c>
      <c r="N202" s="1" t="n">
        <f aca="false">N$2*SIN((PI()*N$1*$A202)/6)</f>
        <v>0.010032038277439</v>
      </c>
      <c r="O202" s="2" t="n">
        <f aca="false">O$2*(-1)^(A202)</f>
        <v>0.114941</v>
      </c>
      <c r="P202" s="2" t="n">
        <f aca="false">100*LN(C202)</f>
        <v>457.20476411526</v>
      </c>
      <c r="Q202" s="2" t="n">
        <f aca="false">SUM(E202:O202)</f>
        <v>-0.222019098437279</v>
      </c>
      <c r="R202" s="2" t="n">
        <f aca="false">P202-Q202</f>
        <v>457.426783213698</v>
      </c>
      <c r="S202" s="1" t="n">
        <f aca="false">EXP(R202/100)</f>
        <v>96.9570243254189</v>
      </c>
      <c r="T202" s="2"/>
      <c r="U202" s="2"/>
      <c r="V202" s="4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L202" s="2"/>
      <c r="AM202" s="5"/>
      <c r="AN202" s="2"/>
      <c r="AO202" s="2"/>
      <c r="AP202" s="2"/>
      <c r="AR202" s="2"/>
      <c r="AS202" s="2"/>
      <c r="AT202" s="2"/>
      <c r="AU202" s="2"/>
      <c r="AW202" s="2"/>
      <c r="AX202" s="2"/>
      <c r="AY202" s="2"/>
      <c r="AZ202" s="2"/>
      <c r="BB202" s="2"/>
      <c r="BC202" s="2"/>
      <c r="BD202" s="2"/>
      <c r="BE202" s="2"/>
    </row>
    <row r="203" customFormat="false" ht="12.8" hidden="false" customHeight="false" outlineLevel="0" collapsed="false">
      <c r="A203" s="2" t="n">
        <v>201</v>
      </c>
      <c r="B203" s="2" t="s">
        <v>207</v>
      </c>
      <c r="C203" s="2" t="n">
        <v>96.978</v>
      </c>
      <c r="D203" s="2" t="n">
        <f aca="false">100*LN(C203)</f>
        <v>457.448414865573</v>
      </c>
      <c r="E203" s="2" t="n">
        <f aca="false">E$2*COS((PI()*E$1*$A203)/6)</f>
        <v>9.464479130274E-016</v>
      </c>
      <c r="F203" s="2" t="n">
        <f aca="false">F$2*SIN((PI()*F$1*$A203)/6)</f>
        <v>0.166276</v>
      </c>
      <c r="G203" s="1" t="n">
        <f aca="false">G$2*COS((PI()*G$1*$A203)/6)</f>
        <v>-0.289269</v>
      </c>
      <c r="H203" s="1" t="n">
        <f aca="false">H$2*SIN((PI()*H$1*$A203)/6)</f>
        <v>-6.78816970092579E-015</v>
      </c>
      <c r="I203" s="1" t="n">
        <f aca="false">I$2*COS((PI()*I$1*$A203)/6)</f>
        <v>2.94978231006661E-016</v>
      </c>
      <c r="J203" s="1" t="n">
        <f aca="false">J$2*SIN((PI()*J$1*$A203)/6)</f>
        <v>-0.033221</v>
      </c>
      <c r="K203" s="1" t="n">
        <f aca="false">K$2*COS((PI()*K$1*$A203)/6)</f>
        <v>0.058566</v>
      </c>
      <c r="L203" s="1" t="n">
        <f aca="false">L$2*SIN((PI()*L$1*$A203)/6)</f>
        <v>4.06962608431634E-016</v>
      </c>
      <c r="M203" s="1" t="n">
        <f aca="false">M$2*COS((PI()*M$1*$A203)/6)</f>
        <v>1.15554502914492E-016</v>
      </c>
      <c r="N203" s="1" t="n">
        <f aca="false">N$2*SIN((PI()*N$1*$A203)/6)</f>
        <v>-0.011584</v>
      </c>
      <c r="O203" s="2" t="n">
        <f aca="false">O$2*(-1)^(A203)</f>
        <v>-0.114941</v>
      </c>
      <c r="P203" s="2" t="n">
        <f aca="false">100*LN(C203)</f>
        <v>457.448414865573</v>
      </c>
      <c r="Q203" s="2" t="n">
        <f aca="false">SUM(E203:O203)</f>
        <v>-0.224173000000005</v>
      </c>
      <c r="R203" s="2" t="n">
        <f aca="false">P203-Q203</f>
        <v>457.672587865573</v>
      </c>
      <c r="S203" s="1" t="n">
        <f aca="false">EXP(R203/100)</f>
        <v>97.1956423484868</v>
      </c>
      <c r="T203" s="2"/>
      <c r="U203" s="2"/>
      <c r="V203" s="4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L203" s="2"/>
      <c r="AM203" s="5"/>
      <c r="AN203" s="2"/>
      <c r="AO203" s="2"/>
      <c r="AP203" s="2"/>
      <c r="AR203" s="2"/>
      <c r="AS203" s="2"/>
      <c r="AT203" s="2"/>
      <c r="AU203" s="2"/>
      <c r="AW203" s="2"/>
      <c r="AX203" s="2"/>
      <c r="AY203" s="2"/>
      <c r="AZ203" s="2"/>
      <c r="BB203" s="2"/>
      <c r="BC203" s="2"/>
      <c r="BD203" s="2"/>
      <c r="BE203" s="2"/>
    </row>
    <row r="204" customFormat="false" ht="12.8" hidden="false" customHeight="false" outlineLevel="0" collapsed="false">
      <c r="A204" s="2" t="n">
        <v>202</v>
      </c>
      <c r="B204" s="2" t="s">
        <v>208</v>
      </c>
      <c r="C204" s="2" t="n">
        <v>97.875</v>
      </c>
      <c r="D204" s="2" t="n">
        <f aca="false">100*LN(C204)</f>
        <v>458.369115431097</v>
      </c>
      <c r="E204" s="2" t="n">
        <f aca="false">E$2*COS((PI()*E$1*$A204)/6)</f>
        <v>-0.0804949999999996</v>
      </c>
      <c r="F204" s="2" t="n">
        <f aca="false">F$2*SIN((PI()*F$1*$A204)/6)</f>
        <v>0.143999240039662</v>
      </c>
      <c r="G204" s="1" t="n">
        <f aca="false">G$2*COS((PI()*G$1*$A204)/6)</f>
        <v>-0.144634500000001</v>
      </c>
      <c r="H204" s="1" t="n">
        <f aca="false">H$2*SIN((PI()*H$1*$A204)/6)</f>
        <v>0.499983312392272</v>
      </c>
      <c r="I204" s="1" t="n">
        <f aca="false">I$2*COS((PI()*I$1*$A204)/6)</f>
        <v>-0.086102</v>
      </c>
      <c r="J204" s="1" t="n">
        <f aca="false">J$2*SIN((PI()*J$1*$A204)/6)</f>
        <v>-2.92883611152758E-016</v>
      </c>
      <c r="K204" s="1" t="n">
        <f aca="false">K$2*COS((PI()*K$1*$A204)/6)</f>
        <v>-0.0292829999999994</v>
      </c>
      <c r="L204" s="1" t="n">
        <f aca="false">L$2*SIN((PI()*L$1*$A204)/6)</f>
        <v>-0.0149874356378936</v>
      </c>
      <c r="M204" s="1" t="n">
        <f aca="false">M$2*COS((PI()*M$1*$A204)/6)</f>
        <v>-0.00132500000000016</v>
      </c>
      <c r="N204" s="1" t="n">
        <f aca="false">N$2*SIN((PI()*N$1*$A204)/6)</f>
        <v>0.0100320382774385</v>
      </c>
      <c r="O204" s="2" t="n">
        <f aca="false">O$2*(-1)^(A204)</f>
        <v>0.114941</v>
      </c>
      <c r="P204" s="2" t="n">
        <f aca="false">100*LN(C204)</f>
        <v>458.369115431097</v>
      </c>
      <c r="Q204" s="2" t="n">
        <f aca="false">SUM(E204:O204)</f>
        <v>0.412128655071478</v>
      </c>
      <c r="R204" s="2" t="n">
        <f aca="false">P204-Q204</f>
        <v>457.956986776025</v>
      </c>
      <c r="S204" s="1" t="n">
        <f aca="false">EXP(R204/100)</f>
        <v>97.4724591417245</v>
      </c>
      <c r="T204" s="2"/>
      <c r="U204" s="2"/>
      <c r="V204" s="4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L204" s="2"/>
      <c r="AM204" s="5"/>
      <c r="AN204" s="2"/>
      <c r="AO204" s="2"/>
      <c r="AP204" s="2"/>
      <c r="AR204" s="2"/>
      <c r="AS204" s="2"/>
      <c r="AT204" s="2"/>
      <c r="AU204" s="2"/>
      <c r="AW204" s="2"/>
      <c r="AX204" s="2"/>
      <c r="AY204" s="2"/>
      <c r="AZ204" s="2"/>
      <c r="BB204" s="2"/>
      <c r="BC204" s="2"/>
      <c r="BD204" s="2"/>
      <c r="BE204" s="2"/>
    </row>
    <row r="205" customFormat="false" ht="12.8" hidden="false" customHeight="false" outlineLevel="0" collapsed="false">
      <c r="A205" s="2" t="n">
        <v>203</v>
      </c>
      <c r="B205" s="2" t="s">
        <v>209</v>
      </c>
      <c r="C205" s="2" t="n">
        <v>97.768</v>
      </c>
      <c r="D205" s="2" t="n">
        <f aca="false">100*LN(C205)</f>
        <v>458.25973251357</v>
      </c>
      <c r="E205" s="2" t="n">
        <f aca="false">E$2*COS((PI()*E$1*$A205)/6)</f>
        <v>-0.139421429755257</v>
      </c>
      <c r="F205" s="2" t="n">
        <f aca="false">F$2*SIN((PI()*F$1*$A205)/6)</f>
        <v>0.083138</v>
      </c>
      <c r="G205" s="1" t="n">
        <f aca="false">G$2*COS((PI()*G$1*$A205)/6)</f>
        <v>0.1446345</v>
      </c>
      <c r="H205" s="1" t="n">
        <f aca="false">H$2*SIN((PI()*H$1*$A205)/6)</f>
        <v>0.499983312392274</v>
      </c>
      <c r="I205" s="1" t="n">
        <f aca="false">I$2*COS((PI()*I$1*$A205)/6)</f>
        <v>-1.22320994439292E-015</v>
      </c>
      <c r="J205" s="1" t="n">
        <f aca="false">J$2*SIN((PI()*J$1*$A205)/6)</f>
        <v>0.033221</v>
      </c>
      <c r="K205" s="1" t="n">
        <f aca="false">K$2*COS((PI()*K$1*$A205)/6)</f>
        <v>-0.029283</v>
      </c>
      <c r="L205" s="1" t="n">
        <f aca="false">L$2*SIN((PI()*L$1*$A205)/6)</f>
        <v>0.0149874356378935</v>
      </c>
      <c r="M205" s="1" t="n">
        <f aca="false">M$2*COS((PI()*M$1*$A205)/6)</f>
        <v>0.00229496732002874</v>
      </c>
      <c r="N205" s="1" t="n">
        <f aca="false">N$2*SIN((PI()*N$1*$A205)/6)</f>
        <v>-0.00579200000000014</v>
      </c>
      <c r="O205" s="2" t="n">
        <f aca="false">O$2*(-1)^(A205)</f>
        <v>-0.114941</v>
      </c>
      <c r="P205" s="2" t="n">
        <f aca="false">100*LN(C205)</f>
        <v>458.25973251357</v>
      </c>
      <c r="Q205" s="2" t="n">
        <f aca="false">SUM(E205:O205)</f>
        <v>0.488821785594938</v>
      </c>
      <c r="R205" s="2" t="n">
        <f aca="false">P205-Q205</f>
        <v>457.770910727975</v>
      </c>
      <c r="S205" s="1" t="n">
        <f aca="false">EXP(R205/100)</f>
        <v>97.2912548829618</v>
      </c>
      <c r="T205" s="2"/>
      <c r="U205" s="2"/>
      <c r="V205" s="4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L205" s="2"/>
      <c r="AM205" s="5"/>
      <c r="AN205" s="2"/>
      <c r="AO205" s="2"/>
      <c r="AP205" s="2"/>
      <c r="AR205" s="2"/>
      <c r="AS205" s="2"/>
      <c r="AT205" s="2"/>
      <c r="AU205" s="2"/>
      <c r="AW205" s="2"/>
      <c r="AX205" s="2"/>
      <c r="AY205" s="2"/>
      <c r="AZ205" s="2"/>
      <c r="BB205" s="2"/>
      <c r="BC205" s="2"/>
      <c r="BD205" s="2"/>
      <c r="BE205" s="2"/>
    </row>
    <row r="206" customFormat="false" ht="12.8" hidden="false" customHeight="false" outlineLevel="0" collapsed="false">
      <c r="A206" s="2" t="n">
        <v>204</v>
      </c>
      <c r="B206" s="2" t="s">
        <v>210</v>
      </c>
      <c r="C206" s="2" t="n">
        <v>97.329</v>
      </c>
      <c r="D206" s="2" t="n">
        <f aca="false">100*LN(C206)</f>
        <v>457.809699206116</v>
      </c>
      <c r="E206" s="2" t="n">
        <f aca="false">E$2*COS((PI()*E$1*$A206)/6)</f>
        <v>-0.16099</v>
      </c>
      <c r="F206" s="2" t="n">
        <f aca="false">F$2*SIN((PI()*F$1*$A206)/6)</f>
        <v>1.87380190130755E-015</v>
      </c>
      <c r="G206" s="1" t="n">
        <f aca="false">G$2*COS((PI()*G$1*$A206)/6)</f>
        <v>0.289269</v>
      </c>
      <c r="H206" s="1" t="n">
        <f aca="false">H$2*SIN((PI()*H$1*$A206)/6)</f>
        <v>1.30121475797324E-014</v>
      </c>
      <c r="I206" s="1" t="n">
        <f aca="false">I$2*COS((PI()*I$1*$A206)/6)</f>
        <v>0.086102</v>
      </c>
      <c r="J206" s="1" t="n">
        <f aca="false">J$2*SIN((PI()*J$1*$A206)/6)</f>
        <v>6.510261136545E-016</v>
      </c>
      <c r="K206" s="1" t="n">
        <f aca="false">K$2*COS((PI()*K$1*$A206)/6)</f>
        <v>0.058566</v>
      </c>
      <c r="L206" s="1" t="n">
        <f aca="false">L$2*SIN((PI()*L$1*$A206)/6)</f>
        <v>7.80100933484771E-016</v>
      </c>
      <c r="M206" s="1" t="n">
        <f aca="false">M$2*COS((PI()*M$1*$A206)/6)</f>
        <v>-0.00265</v>
      </c>
      <c r="N206" s="1" t="n">
        <f aca="false">N$2*SIN((PI()*N$1*$A206)/6)</f>
        <v>-1.5885797435204E-016</v>
      </c>
      <c r="O206" s="2" t="n">
        <f aca="false">O$2*(-1)^(A206)</f>
        <v>0.114941</v>
      </c>
      <c r="P206" s="2" t="n">
        <f aca="false">100*LN(C206)</f>
        <v>457.809699206116</v>
      </c>
      <c r="Q206" s="2" t="n">
        <f aca="false">SUM(E206:O206)</f>
        <v>0.385238000000016</v>
      </c>
      <c r="R206" s="2" t="n">
        <f aca="false">P206-Q206</f>
        <v>457.424461206116</v>
      </c>
      <c r="S206" s="1" t="n">
        <f aca="false">EXP(R206/100)</f>
        <v>96.9547730021009</v>
      </c>
      <c r="T206" s="2"/>
      <c r="U206" s="2"/>
      <c r="V206" s="4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L206" s="2"/>
      <c r="AM206" s="5"/>
      <c r="AN206" s="2"/>
      <c r="AO206" s="2"/>
      <c r="AP206" s="2"/>
      <c r="AR206" s="2"/>
      <c r="AS206" s="2"/>
      <c r="AT206" s="2"/>
      <c r="AU206" s="2"/>
      <c r="AW206" s="2"/>
      <c r="AX206" s="2"/>
      <c r="AY206" s="2"/>
      <c r="AZ206" s="2"/>
      <c r="BB206" s="2"/>
      <c r="BC206" s="2"/>
      <c r="BD206" s="2"/>
      <c r="BE206" s="2"/>
    </row>
    <row r="207" customFormat="false" ht="12.8" hidden="false" customHeight="false" outlineLevel="0" collapsed="false">
      <c r="A207" s="2" t="n">
        <v>205</v>
      </c>
      <c r="B207" s="2" t="s">
        <v>211</v>
      </c>
      <c r="C207" s="2" t="n">
        <v>96.085</v>
      </c>
      <c r="D207" s="2" t="n">
        <f aca="false">100*LN(C207)</f>
        <v>456.523321638439</v>
      </c>
      <c r="E207" s="2" t="n">
        <f aca="false">E$2*COS((PI()*E$1*$A207)/6)</f>
        <v>-0.139421429755257</v>
      </c>
      <c r="F207" s="2" t="n">
        <f aca="false">F$2*SIN((PI()*F$1*$A207)/6)</f>
        <v>-0.0831379999999988</v>
      </c>
      <c r="G207" s="1" t="n">
        <f aca="false">G$2*COS((PI()*G$1*$A207)/6)</f>
        <v>0.144634500000004</v>
      </c>
      <c r="H207" s="1" t="n">
        <f aca="false">H$2*SIN((PI()*H$1*$A207)/6)</f>
        <v>-0.499983312392269</v>
      </c>
      <c r="I207" s="1" t="n">
        <f aca="false">I$2*COS((PI()*I$1*$A207)/6)</f>
        <v>2.15144165777918E-015</v>
      </c>
      <c r="J207" s="1" t="n">
        <f aca="false">J$2*SIN((PI()*J$1*$A207)/6)</f>
        <v>-0.033221</v>
      </c>
      <c r="K207" s="1" t="n">
        <f aca="false">K$2*COS((PI()*K$1*$A207)/6)</f>
        <v>-0.0292829999999983</v>
      </c>
      <c r="L207" s="1" t="n">
        <f aca="false">L$2*SIN((PI()*L$1*$A207)/6)</f>
        <v>-0.0149874356378938</v>
      </c>
      <c r="M207" s="1" t="n">
        <f aca="false">M$2*COS((PI()*M$1*$A207)/6)</f>
        <v>0.00229496732002871</v>
      </c>
      <c r="N207" s="1" t="n">
        <f aca="false">N$2*SIN((PI()*N$1*$A207)/6)</f>
        <v>0.00579200000000042</v>
      </c>
      <c r="O207" s="2" t="n">
        <f aca="false">O$2*(-1)^(A207)</f>
        <v>-0.114941</v>
      </c>
      <c r="P207" s="2" t="n">
        <f aca="false">100*LN(C207)</f>
        <v>456.523321638439</v>
      </c>
      <c r="Q207" s="2" t="n">
        <f aca="false">SUM(E207:O207)</f>
        <v>-0.762253710465382</v>
      </c>
      <c r="R207" s="2" t="n">
        <f aca="false">P207-Q207</f>
        <v>457.285575348904</v>
      </c>
      <c r="S207" s="1" t="n">
        <f aca="false">EXP(R207/100)</f>
        <v>96.8202100006289</v>
      </c>
      <c r="T207" s="2"/>
      <c r="U207" s="2"/>
      <c r="V207" s="4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L207" s="2"/>
      <c r="AM207" s="5"/>
      <c r="AN207" s="2"/>
      <c r="AO207" s="2"/>
      <c r="AP207" s="2"/>
      <c r="AR207" s="2"/>
      <c r="AS207" s="2"/>
      <c r="AT207" s="2"/>
      <c r="AU207" s="2"/>
      <c r="AW207" s="2"/>
      <c r="AX207" s="2"/>
      <c r="AY207" s="2"/>
      <c r="AZ207" s="2"/>
      <c r="BB207" s="2"/>
      <c r="BC207" s="2"/>
      <c r="BD207" s="2"/>
      <c r="BE207" s="2"/>
    </row>
    <row r="208" customFormat="false" ht="12.8" hidden="false" customHeight="false" outlineLevel="0" collapsed="false">
      <c r="A208" s="2" t="n">
        <v>206</v>
      </c>
      <c r="B208" s="2" t="s">
        <v>212</v>
      </c>
      <c r="C208" s="2" t="n">
        <v>96.32</v>
      </c>
      <c r="D208" s="2" t="n">
        <f aca="false">100*LN(C208)</f>
        <v>456.767598156051</v>
      </c>
      <c r="E208" s="2" t="n">
        <f aca="false">E$2*COS((PI()*E$1*$A208)/6)</f>
        <v>-0.0804950000000008</v>
      </c>
      <c r="F208" s="2" t="n">
        <f aca="false">F$2*SIN((PI()*F$1*$A208)/6)</f>
        <v>-0.143999240039661</v>
      </c>
      <c r="G208" s="1" t="n">
        <f aca="false">G$2*COS((PI()*G$1*$A208)/6)</f>
        <v>-0.144634499999997</v>
      </c>
      <c r="H208" s="1" t="n">
        <f aca="false">H$2*SIN((PI()*H$1*$A208)/6)</f>
        <v>-0.499983312392277</v>
      </c>
      <c r="I208" s="1" t="n">
        <f aca="false">I$2*COS((PI()*I$1*$A208)/6)</f>
        <v>-0.086102</v>
      </c>
      <c r="J208" s="1" t="n">
        <f aca="false">J$2*SIN((PI()*J$1*$A208)/6)</f>
        <v>-1.00916861615624E-015</v>
      </c>
      <c r="K208" s="1" t="n">
        <f aca="false">K$2*COS((PI()*K$1*$A208)/6)</f>
        <v>-0.0292830000000011</v>
      </c>
      <c r="L208" s="1" t="n">
        <f aca="false">L$2*SIN((PI()*L$1*$A208)/6)</f>
        <v>0.0149874356378933</v>
      </c>
      <c r="M208" s="1" t="n">
        <f aca="false">M$2*COS((PI()*M$1*$A208)/6)</f>
        <v>-0.0013250000000001</v>
      </c>
      <c r="N208" s="1" t="n">
        <f aca="false">N$2*SIN((PI()*N$1*$A208)/6)</f>
        <v>-0.0100320382774387</v>
      </c>
      <c r="O208" s="2" t="n">
        <f aca="false">O$2*(-1)^(A208)</f>
        <v>0.114941</v>
      </c>
      <c r="P208" s="2" t="n">
        <f aca="false">100*LN(C208)</f>
        <v>456.767598156051</v>
      </c>
      <c r="Q208" s="2" t="n">
        <f aca="false">SUM(E208:O208)</f>
        <v>-0.865925655071483</v>
      </c>
      <c r="R208" s="2" t="n">
        <f aca="false">P208-Q208</f>
        <v>457.633523811123</v>
      </c>
      <c r="S208" s="1" t="n">
        <f aca="false">EXP(R208/100)</f>
        <v>97.1576812049003</v>
      </c>
      <c r="T208" s="2"/>
      <c r="U208" s="2"/>
      <c r="V208" s="4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L208" s="2"/>
      <c r="AM208" s="5"/>
      <c r="AN208" s="2"/>
      <c r="AO208" s="2"/>
      <c r="AP208" s="2"/>
      <c r="AR208" s="2"/>
      <c r="AS208" s="2"/>
      <c r="AT208" s="2"/>
      <c r="AU208" s="2"/>
      <c r="AW208" s="2"/>
      <c r="AX208" s="2"/>
      <c r="AY208" s="2"/>
      <c r="AZ208" s="2"/>
      <c r="BB208" s="2"/>
      <c r="BC208" s="2"/>
      <c r="BD208" s="2"/>
      <c r="BE208" s="2"/>
    </row>
    <row r="209" customFormat="false" ht="12.8" hidden="false" customHeight="false" outlineLevel="0" collapsed="false">
      <c r="A209" s="2" t="n">
        <v>207</v>
      </c>
      <c r="B209" s="2" t="s">
        <v>213</v>
      </c>
      <c r="C209" s="2" t="n">
        <v>96.669</v>
      </c>
      <c r="D209" s="2" t="n">
        <f aca="false">100*LN(C209)</f>
        <v>457.129277195213</v>
      </c>
      <c r="E209" s="2" t="n">
        <f aca="false">E$2*COS((PI()*E$1*$A209)/6)</f>
        <v>-2.68201762729715E-015</v>
      </c>
      <c r="F209" s="2" t="n">
        <f aca="false">F$2*SIN((PI()*F$1*$A209)/6)</f>
        <v>-0.166276</v>
      </c>
      <c r="G209" s="1" t="n">
        <f aca="false">G$2*COS((PI()*G$1*$A209)/6)</f>
        <v>-0.289269</v>
      </c>
      <c r="H209" s="1" t="n">
        <f aca="false">H$2*SIN((PI()*H$1*$A209)/6)</f>
        <v>-1.92361254585389E-014</v>
      </c>
      <c r="I209" s="1" t="n">
        <f aca="false">I$2*COS((PI()*I$1*$A209)/6)</f>
        <v>1.81465867958785E-015</v>
      </c>
      <c r="J209" s="1" t="n">
        <f aca="false">J$2*SIN((PI()*J$1*$A209)/6)</f>
        <v>0.033221</v>
      </c>
      <c r="K209" s="1" t="n">
        <f aca="false">K$2*COS((PI()*K$1*$A209)/6)</f>
        <v>0.058566</v>
      </c>
      <c r="L209" s="1" t="n">
        <f aca="false">L$2*SIN((PI()*L$1*$A209)/6)</f>
        <v>1.15323925853791E-015</v>
      </c>
      <c r="M209" s="1" t="n">
        <f aca="false">M$2*COS((PI()*M$1*$A209)/6)</f>
        <v>4.28725913066006E-017</v>
      </c>
      <c r="N209" s="1" t="n">
        <f aca="false">N$2*SIN((PI()*N$1*$A209)/6)</f>
        <v>0.011584</v>
      </c>
      <c r="O209" s="2" t="n">
        <f aca="false">O$2*(-1)^(A209)</f>
        <v>-0.114941</v>
      </c>
      <c r="P209" s="2" t="n">
        <f aca="false">100*LN(C209)</f>
        <v>457.129277195213</v>
      </c>
      <c r="Q209" s="2" t="n">
        <f aca="false">SUM(E209:O209)</f>
        <v>-0.467115000000019</v>
      </c>
      <c r="R209" s="2" t="n">
        <f aca="false">P209-Q209</f>
        <v>457.596392195213</v>
      </c>
      <c r="S209" s="1" t="n">
        <f aca="false">EXP(R209/100)</f>
        <v>97.1216116849009</v>
      </c>
      <c r="T209" s="2"/>
      <c r="U209" s="2"/>
      <c r="V209" s="4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L209" s="2"/>
      <c r="AM209" s="5"/>
      <c r="AN209" s="2"/>
      <c r="AO209" s="2"/>
      <c r="AP209" s="2"/>
      <c r="AR209" s="2"/>
      <c r="AS209" s="2"/>
      <c r="AT209" s="2"/>
      <c r="AU209" s="2"/>
      <c r="AW209" s="2"/>
      <c r="AX209" s="2"/>
      <c r="AY209" s="2"/>
      <c r="AZ209" s="2"/>
      <c r="BB209" s="2"/>
      <c r="BC209" s="2"/>
      <c r="BD209" s="2"/>
      <c r="BE209" s="2"/>
    </row>
    <row r="210" customFormat="false" ht="12.8" hidden="false" customHeight="false" outlineLevel="0" collapsed="false">
      <c r="A210" s="2" t="n">
        <v>208</v>
      </c>
      <c r="B210" s="2" t="s">
        <v>214</v>
      </c>
      <c r="C210" s="2" t="n">
        <v>97.644</v>
      </c>
      <c r="D210" s="2" t="n">
        <f aca="false">100*LN(C210)</f>
        <v>458.132821150252</v>
      </c>
      <c r="E210" s="2" t="n">
        <f aca="false">E$2*COS((PI()*E$1*$A210)/6)</f>
        <v>0.0804950000000001</v>
      </c>
      <c r="F210" s="2" t="n">
        <f aca="false">F$2*SIN((PI()*F$1*$A210)/6)</f>
        <v>-0.143999240039661</v>
      </c>
      <c r="G210" s="1" t="n">
        <f aca="false">G$2*COS((PI()*G$1*$A210)/6)</f>
        <v>-0.1446345</v>
      </c>
      <c r="H210" s="1" t="n">
        <f aca="false">H$2*SIN((PI()*H$1*$A210)/6)</f>
        <v>0.499983312392274</v>
      </c>
      <c r="I210" s="1" t="n">
        <f aca="false">I$2*COS((PI()*I$1*$A210)/6)</f>
        <v>0.086102</v>
      </c>
      <c r="J210" s="1" t="n">
        <f aca="false">J$2*SIN((PI()*J$1*$A210)/6)</f>
        <v>1.36731111865798E-015</v>
      </c>
      <c r="K210" s="1" t="n">
        <f aca="false">K$2*COS((PI()*K$1*$A210)/6)</f>
        <v>-0.0292830000000001</v>
      </c>
      <c r="L210" s="1" t="n">
        <f aca="false">L$2*SIN((PI()*L$1*$A210)/6)</f>
        <v>-0.0149874356378935</v>
      </c>
      <c r="M210" s="1" t="n">
        <f aca="false">M$2*COS((PI()*M$1*$A210)/6)</f>
        <v>0.00132500000000003</v>
      </c>
      <c r="N210" s="1" t="n">
        <f aca="false">N$2*SIN((PI()*N$1*$A210)/6)</f>
        <v>-0.0100320382774389</v>
      </c>
      <c r="O210" s="2" t="n">
        <f aca="false">O$2*(-1)^(A210)</f>
        <v>0.114941</v>
      </c>
      <c r="P210" s="2" t="n">
        <f aca="false">100*LN(C210)</f>
        <v>458.132821150252</v>
      </c>
      <c r="Q210" s="2" t="n">
        <f aca="false">SUM(E210:O210)</f>
        <v>0.439910098437282</v>
      </c>
      <c r="R210" s="2" t="n">
        <f aca="false">P210-Q210</f>
        <v>457.692911051815</v>
      </c>
      <c r="S210" s="1" t="n">
        <f aca="false">EXP(R210/100)</f>
        <v>97.2153976072815</v>
      </c>
      <c r="T210" s="2"/>
      <c r="U210" s="2"/>
      <c r="V210" s="4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L210" s="2"/>
      <c r="AM210" s="5"/>
      <c r="AN210" s="2"/>
      <c r="AO210" s="2"/>
      <c r="AP210" s="2"/>
      <c r="AR210" s="2"/>
      <c r="AS210" s="2"/>
      <c r="AT210" s="2"/>
      <c r="AU210" s="2"/>
      <c r="AW210" s="2"/>
      <c r="AX210" s="2"/>
      <c r="AY210" s="2"/>
      <c r="AZ210" s="2"/>
      <c r="BB210" s="2"/>
      <c r="BC210" s="2"/>
      <c r="BD210" s="2"/>
      <c r="BE210" s="2"/>
    </row>
    <row r="211" customFormat="false" ht="12.8" hidden="false" customHeight="false" outlineLevel="0" collapsed="false">
      <c r="A211" s="2" t="n">
        <v>209</v>
      </c>
      <c r="B211" s="2" t="s">
        <v>215</v>
      </c>
      <c r="C211" s="2" t="n">
        <v>97.834</v>
      </c>
      <c r="D211" s="2" t="n">
        <f aca="false">100*LN(C211)</f>
        <v>458.327216488688</v>
      </c>
      <c r="E211" s="2" t="n">
        <f aca="false">E$2*COS((PI()*E$1*$A211)/6)</f>
        <v>0.139421429755257</v>
      </c>
      <c r="F211" s="2" t="n">
        <f aca="false">F$2*SIN((PI()*F$1*$A211)/6)</f>
        <v>-0.0831379999999995</v>
      </c>
      <c r="G211" s="1" t="n">
        <f aca="false">G$2*COS((PI()*G$1*$A211)/6)</f>
        <v>0.144634500000002</v>
      </c>
      <c r="H211" s="1" t="n">
        <f aca="false">H$2*SIN((PI()*H$1*$A211)/6)</f>
        <v>0.499983312392272</v>
      </c>
      <c r="I211" s="1" t="n">
        <f aca="false">I$2*COS((PI()*I$1*$A211)/6)</f>
        <v>-8.86426966201587E-016</v>
      </c>
      <c r="J211" s="1" t="n">
        <f aca="false">J$2*SIN((PI()*J$1*$A211)/6)</f>
        <v>-0.033221</v>
      </c>
      <c r="K211" s="1" t="n">
        <f aca="false">K$2*COS((PI()*K$1*$A211)/6)</f>
        <v>-0.0292829999999993</v>
      </c>
      <c r="L211" s="1" t="n">
        <f aca="false">L$2*SIN((PI()*L$1*$A211)/6)</f>
        <v>0.0149874356378936</v>
      </c>
      <c r="M211" s="1" t="n">
        <f aca="false">M$2*COS((PI()*M$1*$A211)/6)</f>
        <v>-0.00229496732002882</v>
      </c>
      <c r="N211" s="1" t="n">
        <f aca="false">N$2*SIN((PI()*N$1*$A211)/6)</f>
        <v>0.0057919999999996</v>
      </c>
      <c r="O211" s="2" t="n">
        <f aca="false">O$2*(-1)^(A211)</f>
        <v>-0.114941</v>
      </c>
      <c r="P211" s="2" t="n">
        <f aca="false">100*LN(C211)</f>
        <v>458.327216488688</v>
      </c>
      <c r="Q211" s="2" t="n">
        <f aca="false">SUM(E211:O211)</f>
        <v>0.541940710465395</v>
      </c>
      <c r="R211" s="2" t="n">
        <f aca="false">P211-Q211</f>
        <v>457.785275778222</v>
      </c>
      <c r="S211" s="1" t="n">
        <f aca="false">EXP(R211/100)</f>
        <v>97.3052318244852</v>
      </c>
      <c r="T211" s="2"/>
      <c r="U211" s="2"/>
      <c r="V211" s="4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L211" s="2"/>
      <c r="AM211" s="5"/>
      <c r="AN211" s="2"/>
      <c r="AO211" s="2"/>
      <c r="AP211" s="2"/>
      <c r="AR211" s="2"/>
      <c r="AS211" s="2"/>
      <c r="AT211" s="2"/>
      <c r="AU211" s="2"/>
      <c r="AW211" s="2"/>
      <c r="AX211" s="2"/>
      <c r="AY211" s="2"/>
      <c r="AZ211" s="2"/>
      <c r="BB211" s="2"/>
      <c r="BC211" s="2"/>
      <c r="BD211" s="2"/>
      <c r="BE211" s="2"/>
    </row>
    <row r="212" customFormat="false" ht="12.8" hidden="false" customHeight="false" outlineLevel="0" collapsed="false">
      <c r="A212" s="2" t="n">
        <v>210</v>
      </c>
      <c r="B212" s="2" t="s">
        <v>216</v>
      </c>
      <c r="C212" s="2" t="n">
        <v>97.719</v>
      </c>
      <c r="D212" s="2" t="n">
        <f aca="false">100*LN(C212)</f>
        <v>458.209601301749</v>
      </c>
      <c r="E212" s="2" t="n">
        <f aca="false">E$2*COS((PI()*E$1*$A212)/6)</f>
        <v>0.16099</v>
      </c>
      <c r="F212" s="2" t="n">
        <f aca="false">F$2*SIN((PI()*F$1*$A212)/6)</f>
        <v>1.05949025985611E-015</v>
      </c>
      <c r="G212" s="1" t="n">
        <f aca="false">G$2*COS((PI()*G$1*$A212)/6)</f>
        <v>0.289269</v>
      </c>
      <c r="H212" s="1" t="n">
        <f aca="false">H$2*SIN((PI()*H$1*$A212)/6)</f>
        <v>-7.35736451698365E-015</v>
      </c>
      <c r="I212" s="1" t="n">
        <f aca="false">I$2*COS((PI()*I$1*$A212)/6)</f>
        <v>-0.086102</v>
      </c>
      <c r="J212" s="1" t="n">
        <f aca="false">J$2*SIN((PI()*J$1*$A212)/6)</f>
        <v>1.62941596815178E-016</v>
      </c>
      <c r="K212" s="1" t="n">
        <f aca="false">K$2*COS((PI()*K$1*$A212)/6)</f>
        <v>0.058566</v>
      </c>
      <c r="L212" s="1" t="n">
        <f aca="false">L$2*SIN((PI()*L$1*$A212)/6)</f>
        <v>-4.4108683001924E-016</v>
      </c>
      <c r="M212" s="1" t="n">
        <f aca="false">M$2*COS((PI()*M$1*$A212)/6)</f>
        <v>0.00265</v>
      </c>
      <c r="N212" s="1" t="n">
        <f aca="false">N$2*SIN((PI()*N$1*$A212)/6)</f>
        <v>7.83270657441076E-016</v>
      </c>
      <c r="O212" s="2" t="n">
        <f aca="false">O$2*(-1)^(A212)</f>
        <v>0.114941</v>
      </c>
      <c r="P212" s="2" t="n">
        <f aca="false">100*LN(C212)</f>
        <v>458.209601301749</v>
      </c>
      <c r="Q212" s="2" t="n">
        <f aca="false">SUM(E212:O212)</f>
        <v>0.540313999999994</v>
      </c>
      <c r="R212" s="2" t="n">
        <f aca="false">P212-Q212</f>
        <v>457.669287301749</v>
      </c>
      <c r="S212" s="1" t="n">
        <f aca="false">EXP(R212/100)</f>
        <v>97.1924343972178</v>
      </c>
      <c r="T212" s="2"/>
      <c r="U212" s="2"/>
      <c r="V212" s="4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L212" s="2"/>
      <c r="AM212" s="5"/>
      <c r="AN212" s="2"/>
      <c r="AO212" s="2"/>
      <c r="AP212" s="2"/>
      <c r="AR212" s="2"/>
      <c r="AS212" s="2"/>
      <c r="AT212" s="2"/>
      <c r="AU212" s="2"/>
      <c r="AW212" s="2"/>
      <c r="AX212" s="2"/>
      <c r="AY212" s="2"/>
      <c r="AZ212" s="2"/>
      <c r="BB212" s="2"/>
      <c r="BC212" s="2"/>
      <c r="BD212" s="2"/>
      <c r="BE212" s="2"/>
    </row>
    <row r="213" customFormat="false" ht="12.8" hidden="false" customHeight="false" outlineLevel="0" collapsed="false">
      <c r="A213" s="2" t="n">
        <v>211</v>
      </c>
      <c r="B213" s="2" t="s">
        <v>217</v>
      </c>
      <c r="C213" s="2" t="n">
        <v>97.113</v>
      </c>
      <c r="D213" s="2" t="n">
        <f aca="false">100*LN(C213)</f>
        <v>457.587524893107</v>
      </c>
      <c r="E213" s="2" t="n">
        <f aca="false">E$2*COS((PI()*E$1*$A213)/6)</f>
        <v>0.139421429755257</v>
      </c>
      <c r="F213" s="2" t="n">
        <f aca="false">F$2*SIN((PI()*F$1*$A213)/6)</f>
        <v>0.0831379999999993</v>
      </c>
      <c r="G213" s="1" t="n">
        <f aca="false">G$2*COS((PI()*G$1*$A213)/6)</f>
        <v>0.144634500000002</v>
      </c>
      <c r="H213" s="1" t="n">
        <f aca="false">H$2*SIN((PI()*H$1*$A213)/6)</f>
        <v>-0.499983312392271</v>
      </c>
      <c r="I213" s="1" t="n">
        <f aca="false">I$2*COS((PI()*I$1*$A213)/6)</f>
        <v>-4.18047471846734E-017</v>
      </c>
      <c r="J213" s="1" t="n">
        <f aca="false">J$2*SIN((PI()*J$1*$A213)/6)</f>
        <v>0.033221</v>
      </c>
      <c r="K213" s="1" t="n">
        <f aca="false">K$2*COS((PI()*K$1*$A213)/6)</f>
        <v>-0.029282999999999</v>
      </c>
      <c r="L213" s="1" t="n">
        <f aca="false">L$2*SIN((PI()*L$1*$A213)/6)</f>
        <v>-0.0149874356378937</v>
      </c>
      <c r="M213" s="1" t="n">
        <f aca="false">M$2*COS((PI()*M$1*$A213)/6)</f>
        <v>-0.00229496732002864</v>
      </c>
      <c r="N213" s="1" t="n">
        <f aca="false">N$2*SIN((PI()*N$1*$A213)/6)</f>
        <v>-0.00579200000000096</v>
      </c>
      <c r="O213" s="2" t="n">
        <f aca="false">O$2*(-1)^(A213)</f>
        <v>-0.114941</v>
      </c>
      <c r="P213" s="2" t="n">
        <f aca="false">100*LN(C213)</f>
        <v>457.587524893107</v>
      </c>
      <c r="Q213" s="2" t="n">
        <f aca="false">SUM(E213:O213)</f>
        <v>-0.266866785594934</v>
      </c>
      <c r="R213" s="2" t="n">
        <f aca="false">P213-Q213</f>
        <v>457.854391678702</v>
      </c>
      <c r="S213" s="1" t="n">
        <f aca="false">EXP(R213/100)</f>
        <v>97.3725084584218</v>
      </c>
      <c r="T213" s="2"/>
      <c r="U213" s="2"/>
      <c r="V213" s="4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L213" s="2"/>
      <c r="AM213" s="5"/>
      <c r="AN213" s="2"/>
      <c r="AO213" s="2"/>
      <c r="AP213" s="2"/>
      <c r="AR213" s="2"/>
      <c r="AS213" s="2"/>
      <c r="AT213" s="2"/>
      <c r="AU213" s="2"/>
      <c r="AW213" s="2"/>
      <c r="AX213" s="2"/>
      <c r="AY213" s="2"/>
      <c r="AZ213" s="2"/>
      <c r="BB213" s="2"/>
      <c r="BC213" s="2"/>
      <c r="BD213" s="2"/>
      <c r="BE213" s="2"/>
    </row>
    <row r="214" customFormat="false" ht="12.8" hidden="false" customHeight="false" outlineLevel="0" collapsed="false">
      <c r="A214" s="2" t="n">
        <v>212</v>
      </c>
      <c r="B214" s="2" t="s">
        <v>218</v>
      </c>
      <c r="C214" s="2" t="n">
        <v>97.059</v>
      </c>
      <c r="D214" s="2" t="n">
        <f aca="false">100*LN(C214)</f>
        <v>457.531904101858</v>
      </c>
      <c r="E214" s="2" t="n">
        <f aca="false">E$2*COS((PI()*E$1*$A214)/6)</f>
        <v>0.0804950000000003</v>
      </c>
      <c r="F214" s="2" t="n">
        <f aca="false">F$2*SIN((PI()*F$1*$A214)/6)</f>
        <v>0.143999240039661</v>
      </c>
      <c r="G214" s="1" t="n">
        <f aca="false">G$2*COS((PI()*G$1*$A214)/6)</f>
        <v>-0.144634499999999</v>
      </c>
      <c r="H214" s="1" t="n">
        <f aca="false">H$2*SIN((PI()*H$1*$A214)/6)</f>
        <v>-0.499983312392275</v>
      </c>
      <c r="I214" s="1" t="n">
        <f aca="false">I$2*COS((PI()*I$1*$A214)/6)</f>
        <v>0.086102</v>
      </c>
      <c r="J214" s="1" t="n">
        <f aca="false">J$2*SIN((PI()*J$1*$A214)/6)</f>
        <v>1.95200905686564E-016</v>
      </c>
      <c r="K214" s="1" t="n">
        <f aca="false">K$2*COS((PI()*K$1*$A214)/6)</f>
        <v>-0.0292830000000004</v>
      </c>
      <c r="L214" s="1" t="n">
        <f aca="false">L$2*SIN((PI()*L$1*$A214)/6)</f>
        <v>0.0149874356378934</v>
      </c>
      <c r="M214" s="1" t="n">
        <f aca="false">M$2*COS((PI()*M$1*$A214)/6)</f>
        <v>0.00132499999999998</v>
      </c>
      <c r="N214" s="1" t="n">
        <f aca="false">N$2*SIN((PI()*N$1*$A214)/6)</f>
        <v>0.010032038277439</v>
      </c>
      <c r="O214" s="2" t="n">
        <f aca="false">O$2*(-1)^(A214)</f>
        <v>0.114941</v>
      </c>
      <c r="P214" s="2" t="n">
        <f aca="false">100*LN(C214)</f>
        <v>457.531904101858</v>
      </c>
      <c r="Q214" s="2" t="n">
        <f aca="false">SUM(E214:O214)</f>
        <v>-0.22201909843728</v>
      </c>
      <c r="R214" s="2" t="n">
        <f aca="false">P214-Q214</f>
        <v>457.753923200295</v>
      </c>
      <c r="S214" s="1" t="n">
        <f aca="false">EXP(R214/100)</f>
        <v>97.2747289078252</v>
      </c>
      <c r="T214" s="2"/>
      <c r="U214" s="2"/>
      <c r="V214" s="4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L214" s="2"/>
      <c r="AM214" s="5"/>
      <c r="AN214" s="2"/>
      <c r="AO214" s="2"/>
      <c r="AP214" s="2"/>
      <c r="AR214" s="2"/>
      <c r="AS214" s="2"/>
      <c r="AT214" s="2"/>
      <c r="AU214" s="2"/>
      <c r="AW214" s="2"/>
      <c r="AX214" s="2"/>
      <c r="AY214" s="2"/>
      <c r="AZ214" s="2"/>
      <c r="BB214" s="2"/>
      <c r="BC214" s="2"/>
      <c r="BD214" s="2"/>
      <c r="BE214" s="2"/>
    </row>
    <row r="215" customFormat="false" ht="12.8" hidden="false" customHeight="false" outlineLevel="0" collapsed="false">
      <c r="A215" s="2" t="n">
        <v>213</v>
      </c>
      <c r="B215" s="2" t="s">
        <v>219</v>
      </c>
      <c r="C215" s="2" t="n">
        <v>97.059</v>
      </c>
      <c r="D215" s="2" t="n">
        <f aca="false">100*LN(C215)</f>
        <v>457.531904101858</v>
      </c>
      <c r="E215" s="2" t="n">
        <f aca="false">E$2*COS((PI()*E$1*$A215)/6)</f>
        <v>-1.58023659633839E-016</v>
      </c>
      <c r="F215" s="2" t="n">
        <f aca="false">F$2*SIN((PI()*F$1*$A215)/6)</f>
        <v>0.166276</v>
      </c>
      <c r="G215" s="1" t="n">
        <f aca="false">G$2*COS((PI()*G$1*$A215)/6)</f>
        <v>-0.289269</v>
      </c>
      <c r="H215" s="1" t="n">
        <f aca="false">H$2*SIN((PI()*H$1*$A215)/6)</f>
        <v>1.13338663817708E-015</v>
      </c>
      <c r="I215" s="1" t="n">
        <f aca="false">I$2*COS((PI()*I$1*$A215)/6)</f>
        <v>9.70036460570934E-016</v>
      </c>
      <c r="J215" s="1" t="n">
        <f aca="false">J$2*SIN((PI()*J$1*$A215)/6)</f>
        <v>-0.033221</v>
      </c>
      <c r="K215" s="1" t="n">
        <f aca="false">K$2*COS((PI()*K$1*$A215)/6)</f>
        <v>0.058566</v>
      </c>
      <c r="L215" s="1" t="n">
        <f aca="false">L$2*SIN((PI()*L$1*$A215)/6)</f>
        <v>-6.79485049661027E-017</v>
      </c>
      <c r="M215" s="1" t="n">
        <f aca="false">M$2*COS((PI()*M$1*$A215)/6)</f>
        <v>9.99704344345896E-017</v>
      </c>
      <c r="N215" s="1" t="n">
        <f aca="false">N$2*SIN((PI()*N$1*$A215)/6)</f>
        <v>-0.011584</v>
      </c>
      <c r="O215" s="2" t="n">
        <f aca="false">O$2*(-1)^(A215)</f>
        <v>-0.114941</v>
      </c>
      <c r="P215" s="2" t="n">
        <f aca="false">100*LN(C215)</f>
        <v>457.531904101858</v>
      </c>
      <c r="Q215" s="2" t="n">
        <f aca="false">SUM(E215:O215)</f>
        <v>-0.224172999999998</v>
      </c>
      <c r="R215" s="2" t="n">
        <f aca="false">P215-Q215</f>
        <v>457.756077101858</v>
      </c>
      <c r="S215" s="1" t="n">
        <f aca="false">EXP(R215/100)</f>
        <v>97.2768241322958</v>
      </c>
      <c r="T215" s="2"/>
      <c r="U215" s="2"/>
      <c r="V215" s="4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L215" s="2"/>
      <c r="AM215" s="5"/>
      <c r="AN215" s="2"/>
      <c r="AO215" s="2"/>
      <c r="AP215" s="2"/>
      <c r="AR215" s="2"/>
      <c r="AS215" s="2"/>
      <c r="AT215" s="2"/>
      <c r="AU215" s="2"/>
      <c r="AW215" s="2"/>
      <c r="AX215" s="2"/>
      <c r="AY215" s="2"/>
      <c r="AZ215" s="2"/>
      <c r="BB215" s="2"/>
      <c r="BC215" s="2"/>
      <c r="BD215" s="2"/>
      <c r="BE215" s="2"/>
    </row>
    <row r="216" customFormat="false" ht="12.8" hidden="false" customHeight="false" outlineLevel="0" collapsed="false">
      <c r="A216" s="2" t="n">
        <v>214</v>
      </c>
      <c r="B216" s="2" t="s">
        <v>220</v>
      </c>
      <c r="C216" s="2" t="n">
        <v>98.001</v>
      </c>
      <c r="D216" s="2" t="n">
        <f aca="false">100*LN(C216)</f>
        <v>458.497768270014</v>
      </c>
      <c r="E216" s="2" t="n">
        <f aca="false">E$2*COS((PI()*E$1*$A216)/6)</f>
        <v>-0.0804949999999986</v>
      </c>
      <c r="F216" s="2" t="n">
        <f aca="false">F$2*SIN((PI()*F$1*$A216)/6)</f>
        <v>0.143999240039662</v>
      </c>
      <c r="G216" s="1" t="n">
        <f aca="false">G$2*COS((PI()*G$1*$A216)/6)</f>
        <v>-0.144634500000005</v>
      </c>
      <c r="H216" s="1" t="n">
        <f aca="false">H$2*SIN((PI()*H$1*$A216)/6)</f>
        <v>0.499983312392268</v>
      </c>
      <c r="I216" s="1" t="n">
        <f aca="false">I$2*COS((PI()*I$1*$A216)/6)</f>
        <v>-0.086102</v>
      </c>
      <c r="J216" s="1" t="n">
        <f aca="false">J$2*SIN((PI()*J$1*$A216)/6)</f>
        <v>-5.53343408188306E-016</v>
      </c>
      <c r="K216" s="1" t="n">
        <f aca="false">K$2*COS((PI()*K$1*$A216)/6)</f>
        <v>-0.0292829999999979</v>
      </c>
      <c r="L216" s="1" t="n">
        <f aca="false">L$2*SIN((PI()*L$1*$A216)/6)</f>
        <v>-0.0149874356378939</v>
      </c>
      <c r="M216" s="1" t="n">
        <f aca="false">M$2*COS((PI()*M$1*$A216)/6)</f>
        <v>-0.00132499999999989</v>
      </c>
      <c r="N216" s="1" t="n">
        <f aca="false">N$2*SIN((PI()*N$1*$A216)/6)</f>
        <v>0.0100320382774392</v>
      </c>
      <c r="O216" s="2" t="n">
        <f aca="false">O$2*(-1)^(A216)</f>
        <v>0.114941</v>
      </c>
      <c r="P216" s="2" t="n">
        <f aca="false">100*LN(C216)</f>
        <v>458.497768270014</v>
      </c>
      <c r="Q216" s="2" t="n">
        <f aca="false">SUM(E216:O216)</f>
        <v>0.412128655071473</v>
      </c>
      <c r="R216" s="2" t="n">
        <f aca="false">P216-Q216</f>
        <v>458.085639614943</v>
      </c>
      <c r="S216" s="1" t="n">
        <f aca="false">EXP(R216/100)</f>
        <v>97.5979409282057</v>
      </c>
      <c r="T216" s="2"/>
      <c r="U216" s="2"/>
      <c r="V216" s="4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L216" s="2"/>
      <c r="AM216" s="5"/>
      <c r="AN216" s="2"/>
      <c r="AO216" s="2"/>
      <c r="AP216" s="2"/>
      <c r="AR216" s="2"/>
      <c r="AS216" s="2"/>
      <c r="AT216" s="2"/>
      <c r="AU216" s="2"/>
      <c r="AW216" s="2"/>
      <c r="AX216" s="2"/>
      <c r="AY216" s="2"/>
      <c r="AZ216" s="2"/>
      <c r="BB216" s="2"/>
      <c r="BC216" s="2"/>
      <c r="BD216" s="2"/>
      <c r="BE216" s="2"/>
    </row>
    <row r="217" customFormat="false" ht="12.8" hidden="false" customHeight="false" outlineLevel="0" collapsed="false">
      <c r="A217" s="2" t="n">
        <v>215</v>
      </c>
      <c r="B217" s="2" t="s">
        <v>221</v>
      </c>
      <c r="C217" s="2" t="n">
        <v>98.167</v>
      </c>
      <c r="D217" s="2" t="n">
        <f aca="false">100*LN(C217)</f>
        <v>458.667011000351</v>
      </c>
      <c r="E217" s="2" t="n">
        <f aca="false">E$2*COS((PI()*E$1*$A217)/6)</f>
        <v>-0.139421429755256</v>
      </c>
      <c r="F217" s="2" t="n">
        <f aca="false">F$2*SIN((PI()*F$1*$A217)/6)</f>
        <v>0.0831380000000011</v>
      </c>
      <c r="G217" s="1" t="n">
        <f aca="false">G$2*COS((PI()*G$1*$A217)/6)</f>
        <v>0.144634499999996</v>
      </c>
      <c r="H217" s="1" t="n">
        <f aca="false">H$2*SIN((PI()*H$1*$A217)/6)</f>
        <v>0.499983312392278</v>
      </c>
      <c r="I217" s="1" t="n">
        <f aca="false">I$2*COS((PI()*I$1*$A217)/6)</f>
        <v>-1.8982681739572E-015</v>
      </c>
      <c r="J217" s="1" t="n">
        <f aca="false">J$2*SIN((PI()*J$1*$A217)/6)</f>
        <v>0.033221</v>
      </c>
      <c r="K217" s="1" t="n">
        <f aca="false">K$2*COS((PI()*K$1*$A217)/6)</f>
        <v>-0.0292830000000015</v>
      </c>
      <c r="L217" s="1" t="n">
        <f aca="false">L$2*SIN((PI()*L$1*$A217)/6)</f>
        <v>0.0149874356378932</v>
      </c>
      <c r="M217" s="1" t="n">
        <f aca="false">M$2*COS((PI()*M$1*$A217)/6)</f>
        <v>0.00229496732002874</v>
      </c>
      <c r="N217" s="1" t="n">
        <f aca="false">N$2*SIN((PI()*N$1*$A217)/6)</f>
        <v>-0.0057920000000002</v>
      </c>
      <c r="O217" s="2" t="n">
        <f aca="false">O$2*(-1)^(A217)</f>
        <v>-0.114941</v>
      </c>
      <c r="P217" s="2" t="n">
        <f aca="false">100*LN(C217)</f>
        <v>458.667011000351</v>
      </c>
      <c r="Q217" s="2" t="n">
        <f aca="false">SUM(E217:O217)</f>
        <v>0.488821785594938</v>
      </c>
      <c r="R217" s="2" t="n">
        <f aca="false">P217-Q217</f>
        <v>458.178189214756</v>
      </c>
      <c r="S217" s="1" t="n">
        <f aca="false">EXP(R217/100)</f>
        <v>97.6883092432669</v>
      </c>
      <c r="T217" s="2"/>
      <c r="U217" s="2"/>
      <c r="V217" s="4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L217" s="2"/>
      <c r="AM217" s="5"/>
      <c r="AN217" s="2"/>
      <c r="AO217" s="2"/>
      <c r="AP217" s="2"/>
      <c r="AR217" s="2"/>
      <c r="AS217" s="2"/>
      <c r="AT217" s="2"/>
      <c r="AU217" s="2"/>
      <c r="AW217" s="2"/>
      <c r="AX217" s="2"/>
      <c r="AY217" s="2"/>
      <c r="AZ217" s="2"/>
      <c r="BB217" s="2"/>
      <c r="BC217" s="2"/>
      <c r="BD217" s="2"/>
      <c r="BE217" s="2"/>
    </row>
    <row r="218" customFormat="false" ht="12.8" hidden="false" customHeight="false" outlineLevel="0" collapsed="false">
      <c r="A218" s="2" t="n">
        <v>216</v>
      </c>
      <c r="B218" s="2" t="s">
        <v>222</v>
      </c>
      <c r="C218" s="2" t="n">
        <v>98.096</v>
      </c>
      <c r="D218" s="2" t="n">
        <f aca="false">100*LN(C218)</f>
        <v>458.594659102033</v>
      </c>
      <c r="E218" s="2" t="n">
        <f aca="false">E$2*COS((PI()*E$1*$A218)/6)</f>
        <v>-0.16099</v>
      </c>
      <c r="F218" s="2" t="n">
        <f aca="false">F$2*SIN((PI()*F$1*$A218)/6)</f>
        <v>7.33065736230091E-016</v>
      </c>
      <c r="G218" s="1" t="n">
        <f aca="false">G$2*COS((PI()*G$1*$A218)/6)</f>
        <v>0.289269</v>
      </c>
      <c r="H218" s="1" t="n">
        <f aca="false">H$2*SIN((PI()*H$1*$A218)/6)</f>
        <v>5.09059124062949E-015</v>
      </c>
      <c r="I218" s="1" t="n">
        <f aca="false">I$2*COS((PI()*I$1*$A218)/6)</f>
        <v>0.086102</v>
      </c>
      <c r="J218" s="1" t="n">
        <f aca="false">J$2*SIN((PI()*J$1*$A218)/6)</f>
        <v>9.11485910690047E-016</v>
      </c>
      <c r="K218" s="1" t="n">
        <f aca="false">K$2*COS((PI()*K$1*$A218)/6)</f>
        <v>0.058566</v>
      </c>
      <c r="L218" s="1" t="n">
        <f aca="false">L$2*SIN((PI()*L$1*$A218)/6)</f>
        <v>3.05189820087035E-016</v>
      </c>
      <c r="M218" s="1" t="n">
        <f aca="false">M$2*COS((PI()*M$1*$A218)/6)</f>
        <v>-0.00265</v>
      </c>
      <c r="N218" s="1" t="n">
        <f aca="false">N$2*SIN((PI()*N$1*$A218)/6)</f>
        <v>-9.07350123629129E-017</v>
      </c>
      <c r="O218" s="2" t="n">
        <f aca="false">O$2*(-1)^(A218)</f>
        <v>0.114941</v>
      </c>
      <c r="P218" s="2" t="n">
        <f aca="false">100*LN(C218)</f>
        <v>458.594659102033</v>
      </c>
      <c r="Q218" s="2" t="n">
        <f aca="false">SUM(E218:O218)</f>
        <v>0.385238000000007</v>
      </c>
      <c r="R218" s="2" t="n">
        <f aca="false">P218-Q218</f>
        <v>458.209421102033</v>
      </c>
      <c r="S218" s="1" t="n">
        <f aca="false">EXP(R218/100)</f>
        <v>97.7188239107984</v>
      </c>
      <c r="T218" s="2"/>
      <c r="U218" s="2"/>
      <c r="V218" s="4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L218" s="2"/>
      <c r="AM218" s="5"/>
      <c r="AN218" s="2"/>
      <c r="AO218" s="2"/>
      <c r="AP218" s="2"/>
      <c r="AR218" s="2"/>
      <c r="AS218" s="2"/>
      <c r="AT218" s="2"/>
      <c r="AU218" s="2"/>
      <c r="AW218" s="2"/>
      <c r="AX218" s="2"/>
      <c r="AY218" s="2"/>
      <c r="AZ218" s="2"/>
      <c r="BB218" s="2"/>
      <c r="BC218" s="2"/>
      <c r="BD218" s="2"/>
      <c r="BE218" s="2"/>
    </row>
    <row r="219" customFormat="false" ht="12.8" hidden="false" customHeight="false" outlineLevel="0" collapsed="false">
      <c r="A219" s="2" t="n">
        <v>217</v>
      </c>
      <c r="B219" s="2" t="s">
        <v>223</v>
      </c>
      <c r="C219" s="2" t="n">
        <v>97.139</v>
      </c>
      <c r="D219" s="2" t="n">
        <f aca="false">100*LN(C219)</f>
        <v>457.614294244419</v>
      </c>
      <c r="E219" s="2" t="n">
        <f aca="false">E$2*COS((PI()*E$1*$A219)/6)</f>
        <v>-0.139421429755258</v>
      </c>
      <c r="F219" s="2" t="n">
        <f aca="false">F$2*SIN((PI()*F$1*$A219)/6)</f>
        <v>-0.0831379999999977</v>
      </c>
      <c r="G219" s="1" t="n">
        <f aca="false">G$2*COS((PI()*G$1*$A219)/6)</f>
        <v>0.144634500000008</v>
      </c>
      <c r="H219" s="1" t="n">
        <f aca="false">H$2*SIN((PI()*H$1*$A219)/6)</f>
        <v>-0.499983312392265</v>
      </c>
      <c r="I219" s="1" t="n">
        <f aca="false">I$2*COS((PI()*I$1*$A219)/6)</f>
        <v>2.82649988734346E-015</v>
      </c>
      <c r="J219" s="1" t="n">
        <f aca="false">J$2*SIN((PI()*J$1*$A219)/6)</f>
        <v>-0.033221</v>
      </c>
      <c r="K219" s="1" t="n">
        <f aca="false">K$2*COS((PI()*K$1*$A219)/6)</f>
        <v>-0.0292829999999968</v>
      </c>
      <c r="L219" s="1" t="n">
        <f aca="false">L$2*SIN((PI()*L$1*$A219)/6)</f>
        <v>-0.014987435637894</v>
      </c>
      <c r="M219" s="1" t="n">
        <f aca="false">M$2*COS((PI()*M$1*$A219)/6)</f>
        <v>0.00229496732002872</v>
      </c>
      <c r="N219" s="1" t="n">
        <f aca="false">N$2*SIN((PI()*N$1*$A219)/6)</f>
        <v>0.00579200000000036</v>
      </c>
      <c r="O219" s="2" t="n">
        <f aca="false">O$2*(-1)^(A219)</f>
        <v>-0.114941</v>
      </c>
      <c r="P219" s="2" t="n">
        <f aca="false">100*LN(C219)</f>
        <v>457.614294244419</v>
      </c>
      <c r="Q219" s="2" t="n">
        <f aca="false">SUM(E219:O219)</f>
        <v>-0.762253710465372</v>
      </c>
      <c r="R219" s="2" t="n">
        <f aca="false">P219-Q219</f>
        <v>458.376547954884</v>
      </c>
      <c r="S219" s="1" t="n">
        <f aca="false">EXP(R219/100)</f>
        <v>97.8822748530061</v>
      </c>
      <c r="T219" s="2"/>
      <c r="U219" s="2"/>
      <c r="V219" s="4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L219" s="2"/>
      <c r="AM219" s="5"/>
      <c r="AN219" s="2"/>
      <c r="AO219" s="2"/>
      <c r="AP219" s="2"/>
      <c r="AR219" s="2"/>
      <c r="AS219" s="2"/>
      <c r="AT219" s="2"/>
      <c r="AU219" s="2"/>
      <c r="AW219" s="2"/>
      <c r="AX219" s="2"/>
      <c r="AY219" s="2"/>
      <c r="AZ219" s="2"/>
      <c r="BB219" s="2"/>
      <c r="BC219" s="2"/>
      <c r="BD219" s="2"/>
      <c r="BE219" s="2"/>
    </row>
    <row r="220" customFormat="false" ht="12.8" hidden="false" customHeight="false" outlineLevel="0" collapsed="false">
      <c r="A220" s="2" t="n">
        <v>218</v>
      </c>
      <c r="B220" s="2" t="s">
        <v>224</v>
      </c>
      <c r="C220" s="2" t="n">
        <v>97.024</v>
      </c>
      <c r="D220" s="2" t="n">
        <f aca="false">100*LN(C220)</f>
        <v>457.495837057985</v>
      </c>
      <c r="E220" s="2" t="n">
        <f aca="false">E$2*COS((PI()*E$1*$A220)/6)</f>
        <v>-0.0804950000000018</v>
      </c>
      <c r="F220" s="2" t="n">
        <f aca="false">F$2*SIN((PI()*F$1*$A220)/6)</f>
        <v>-0.14399924003966</v>
      </c>
      <c r="G220" s="1" t="n">
        <f aca="false">G$2*COS((PI()*G$1*$A220)/6)</f>
        <v>-0.144634499999994</v>
      </c>
      <c r="H220" s="1" t="n">
        <f aca="false">H$2*SIN((PI()*H$1*$A220)/6)</f>
        <v>-0.499983312392281</v>
      </c>
      <c r="I220" s="1" t="n">
        <f aca="false">I$2*COS((PI()*I$1*$A220)/6)</f>
        <v>-0.086102</v>
      </c>
      <c r="J220" s="1" t="n">
        <f aca="false">J$2*SIN((PI()*J$1*$A220)/6)</f>
        <v>6.18766804783114E-016</v>
      </c>
      <c r="K220" s="1" t="n">
        <f aca="false">K$2*COS((PI()*K$1*$A220)/6)</f>
        <v>-0.0292830000000026</v>
      </c>
      <c r="L220" s="1" t="n">
        <f aca="false">L$2*SIN((PI()*L$1*$A220)/6)</f>
        <v>0.0149874356378931</v>
      </c>
      <c r="M220" s="1" t="n">
        <f aca="false">M$2*COS((PI()*M$1*$A220)/6)</f>
        <v>-0.00132499999999985</v>
      </c>
      <c r="N220" s="1" t="n">
        <f aca="false">N$2*SIN((PI()*N$1*$A220)/6)</f>
        <v>-0.0100320382774393</v>
      </c>
      <c r="O220" s="2" t="n">
        <f aca="false">O$2*(-1)^(A220)</f>
        <v>0.114941</v>
      </c>
      <c r="P220" s="2" t="n">
        <f aca="false">100*LN(C220)</f>
        <v>457.495837057985</v>
      </c>
      <c r="Q220" s="2" t="n">
        <f aca="false">SUM(E220:O220)</f>
        <v>-0.865925655071485</v>
      </c>
      <c r="R220" s="2" t="n">
        <f aca="false">P220-Q220</f>
        <v>458.361762713057</v>
      </c>
      <c r="S220" s="1" t="n">
        <f aca="false">EXP(R220/100)</f>
        <v>97.86780379178</v>
      </c>
      <c r="T220" s="2"/>
      <c r="U220" s="2"/>
      <c r="V220" s="4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L220" s="2"/>
      <c r="AM220" s="5"/>
      <c r="AN220" s="2"/>
      <c r="AO220" s="2"/>
      <c r="AP220" s="2"/>
      <c r="AR220" s="2"/>
      <c r="AS220" s="2"/>
      <c r="AT220" s="2"/>
      <c r="AU220" s="2"/>
      <c r="AW220" s="2"/>
      <c r="AX220" s="2"/>
      <c r="AY220" s="2"/>
      <c r="AZ220" s="2"/>
      <c r="BB220" s="2"/>
      <c r="BC220" s="2"/>
      <c r="BD220" s="2"/>
      <c r="BE220" s="2"/>
    </row>
    <row r="221" customFormat="false" ht="12.8" hidden="false" customHeight="false" outlineLevel="0" collapsed="false">
      <c r="A221" s="2" t="n">
        <v>219</v>
      </c>
      <c r="B221" s="2" t="s">
        <v>225</v>
      </c>
      <c r="C221" s="2" t="n">
        <v>96.652</v>
      </c>
      <c r="D221" s="2" t="n">
        <f aca="false">100*LN(C221)</f>
        <v>457.111689866321</v>
      </c>
      <c r="E221" s="2" t="n">
        <f aca="false">E$2*COS((PI()*E$1*$A221)/6)</f>
        <v>7.10259445964458E-016</v>
      </c>
      <c r="F221" s="2" t="n">
        <f aca="false">F$2*SIN((PI()*F$1*$A221)/6)</f>
        <v>-0.166276</v>
      </c>
      <c r="G221" s="1" t="n">
        <f aca="false">G$2*COS((PI()*G$1*$A221)/6)</f>
        <v>-0.289269</v>
      </c>
      <c r="H221" s="1" t="n">
        <f aca="false">H$2*SIN((PI()*H$1*$A221)/6)</f>
        <v>5.09416480772851E-015</v>
      </c>
      <c r="I221" s="1" t="n">
        <f aca="false">I$2*COS((PI()*I$1*$A221)/6)</f>
        <v>1.13960045002358E-015</v>
      </c>
      <c r="J221" s="1" t="n">
        <f aca="false">J$2*SIN((PI()*J$1*$A221)/6)</f>
        <v>0.033221</v>
      </c>
      <c r="K221" s="1" t="n">
        <f aca="false">K$2*COS((PI()*K$1*$A221)/6)</f>
        <v>0.058566</v>
      </c>
      <c r="L221" s="1" t="n">
        <f aca="false">L$2*SIN((PI()*L$1*$A221)/6)</f>
        <v>-3.05404061664971E-016</v>
      </c>
      <c r="M221" s="1" t="n">
        <f aca="false">M$2*COS((PI()*M$1*$A221)/6)</f>
        <v>-2.4281346017578E-016</v>
      </c>
      <c r="N221" s="1" t="n">
        <f aca="false">N$2*SIN((PI()*N$1*$A221)/6)</f>
        <v>0.011584</v>
      </c>
      <c r="O221" s="2" t="n">
        <f aca="false">O$2*(-1)^(A221)</f>
        <v>-0.114941</v>
      </c>
      <c r="P221" s="2" t="n">
        <f aca="false">100*LN(C221)</f>
        <v>457.111689866321</v>
      </c>
      <c r="Q221" s="2" t="n">
        <f aca="false">SUM(E221:O221)</f>
        <v>-0.467114999999994</v>
      </c>
      <c r="R221" s="2" t="n">
        <f aca="false">P221-Q221</f>
        <v>457.578804866321</v>
      </c>
      <c r="S221" s="1" t="n">
        <f aca="false">EXP(R221/100)</f>
        <v>97.1045320895948</v>
      </c>
      <c r="T221" s="2"/>
      <c r="U221" s="2"/>
      <c r="V221" s="4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L221" s="2"/>
      <c r="AM221" s="5"/>
      <c r="AN221" s="2"/>
      <c r="AO221" s="2"/>
      <c r="AP221" s="2"/>
      <c r="AR221" s="2"/>
      <c r="AS221" s="2"/>
      <c r="AT221" s="2"/>
      <c r="AU221" s="2"/>
      <c r="AW221" s="2"/>
      <c r="AX221" s="2"/>
      <c r="AY221" s="2"/>
      <c r="AZ221" s="2"/>
      <c r="BB221" s="2"/>
      <c r="BC221" s="2"/>
      <c r="BD221" s="2"/>
      <c r="BE221" s="2"/>
    </row>
    <row r="222" customFormat="false" ht="12.8" hidden="false" customHeight="false" outlineLevel="0" collapsed="false">
      <c r="A222" s="2" t="n">
        <v>220</v>
      </c>
      <c r="B222" s="2" t="s">
        <v>226</v>
      </c>
      <c r="C222" s="2" t="n">
        <v>96.944</v>
      </c>
      <c r="D222" s="2" t="n">
        <f aca="false">100*LN(C222)</f>
        <v>457.413349220263</v>
      </c>
      <c r="E222" s="2" t="n">
        <f aca="false">E$2*COS((PI()*E$1*$A222)/6)</f>
        <v>0.080495000000001</v>
      </c>
      <c r="F222" s="2" t="n">
        <f aca="false">F$2*SIN((PI()*F$1*$A222)/6)</f>
        <v>-0.143999240039661</v>
      </c>
      <c r="G222" s="1" t="n">
        <f aca="false">G$2*COS((PI()*G$1*$A222)/6)</f>
        <v>-0.144634499999996</v>
      </c>
      <c r="H222" s="1" t="n">
        <f aca="false">H$2*SIN((PI()*H$1*$A222)/6)</f>
        <v>0.499983312392278</v>
      </c>
      <c r="I222" s="1" t="n">
        <f aca="false">I$2*COS((PI()*I$1*$A222)/6)</f>
        <v>0.086102</v>
      </c>
      <c r="J222" s="1" t="n">
        <f aca="false">J$2*SIN((PI()*J$1*$A222)/6)</f>
        <v>1.62777091569353E-015</v>
      </c>
      <c r="K222" s="1" t="n">
        <f aca="false">K$2*COS((PI()*K$1*$A222)/6)</f>
        <v>-0.0292830000000015</v>
      </c>
      <c r="L222" s="1" t="n">
        <f aca="false">L$2*SIN((PI()*L$1*$A222)/6)</f>
        <v>-0.0149874356378932</v>
      </c>
      <c r="M222" s="1" t="n">
        <f aca="false">M$2*COS((PI()*M$1*$A222)/6)</f>
        <v>0.00132500000000001</v>
      </c>
      <c r="N222" s="1" t="n">
        <f aca="false">N$2*SIN((PI()*N$1*$A222)/6)</f>
        <v>-0.0100320382774389</v>
      </c>
      <c r="O222" s="2" t="n">
        <f aca="false">O$2*(-1)^(A222)</f>
        <v>0.114941</v>
      </c>
      <c r="P222" s="2" t="n">
        <f aca="false">100*LN(C222)</f>
        <v>457.413349220263</v>
      </c>
      <c r="Q222" s="2" t="n">
        <f aca="false">SUM(E222:O222)</f>
        <v>0.43991009843729</v>
      </c>
      <c r="R222" s="2" t="n">
        <f aca="false">P222-Q222</f>
        <v>456.973439121826</v>
      </c>
      <c r="S222" s="1" t="n">
        <f aca="false">EXP(R222/100)</f>
        <v>96.5184702146604</v>
      </c>
      <c r="T222" s="2"/>
      <c r="U222" s="2"/>
      <c r="V222" s="4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L222" s="2"/>
      <c r="AM222" s="5"/>
      <c r="AN222" s="2"/>
      <c r="AO222" s="2"/>
      <c r="AP222" s="2"/>
      <c r="AR222" s="2"/>
      <c r="AS222" s="2"/>
      <c r="AT222" s="2"/>
      <c r="AU222" s="2"/>
      <c r="AW222" s="2"/>
      <c r="AX222" s="2"/>
      <c r="AY222" s="2"/>
      <c r="AZ222" s="2"/>
      <c r="BB222" s="2"/>
      <c r="BC222" s="2"/>
      <c r="BD222" s="2"/>
      <c r="BE222" s="2"/>
    </row>
    <row r="223" customFormat="false" ht="12.8" hidden="false" customHeight="false" outlineLevel="0" collapsed="false">
      <c r="A223" s="2" t="n">
        <v>221</v>
      </c>
      <c r="B223" s="2" t="s">
        <v>227</v>
      </c>
      <c r="C223" s="2" t="n">
        <v>96.938</v>
      </c>
      <c r="D223" s="2" t="n">
        <f aca="false">100*LN(C223)</f>
        <v>457.407159888606</v>
      </c>
      <c r="E223" s="2" t="n">
        <f aca="false">E$2*COS((PI()*E$1*$A223)/6)</f>
        <v>0.139421429755256</v>
      </c>
      <c r="F223" s="2" t="n">
        <f aca="false">F$2*SIN((PI()*F$1*$A223)/6)</f>
        <v>-0.0831380000000006</v>
      </c>
      <c r="G223" s="1" t="n">
        <f aca="false">G$2*COS((PI()*G$1*$A223)/6)</f>
        <v>0.144634499999998</v>
      </c>
      <c r="H223" s="1" t="n">
        <f aca="false">H$2*SIN((PI()*H$1*$A223)/6)</f>
        <v>0.499983312392276</v>
      </c>
      <c r="I223" s="1" t="n">
        <f aca="false">I$2*COS((PI()*I$1*$A223)/6)</f>
        <v>4.68296331411598E-015</v>
      </c>
      <c r="J223" s="1" t="n">
        <f aca="false">J$2*SIN((PI()*J$1*$A223)/6)</f>
        <v>-0.033221</v>
      </c>
      <c r="K223" s="1" t="n">
        <f aca="false">K$2*COS((PI()*K$1*$A223)/6)</f>
        <v>-0.0292830000000008</v>
      </c>
      <c r="L223" s="1" t="n">
        <f aca="false">L$2*SIN((PI()*L$1*$A223)/6)</f>
        <v>0.0149874356378934</v>
      </c>
      <c r="M223" s="1" t="n">
        <f aca="false">M$2*COS((PI()*M$1*$A223)/6)</f>
        <v>-0.00229496732002881</v>
      </c>
      <c r="N223" s="1" t="n">
        <f aca="false">N$2*SIN((PI()*N$1*$A223)/6)</f>
        <v>0.00579199999999966</v>
      </c>
      <c r="O223" s="2" t="n">
        <f aca="false">O$2*(-1)^(A223)</f>
        <v>-0.114941</v>
      </c>
      <c r="P223" s="2" t="n">
        <f aca="false">100*LN(C223)</f>
        <v>457.407159888606</v>
      </c>
      <c r="Q223" s="2" t="n">
        <f aca="false">SUM(E223:O223)</f>
        <v>0.541940710465398</v>
      </c>
      <c r="R223" s="2" t="n">
        <f aca="false">P223-Q223</f>
        <v>456.865219178141</v>
      </c>
      <c r="S223" s="1" t="n">
        <f aca="false">EXP(R223/100)</f>
        <v>96.4140744792397</v>
      </c>
      <c r="T223" s="2"/>
      <c r="U223" s="2"/>
      <c r="V223" s="4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L223" s="2"/>
      <c r="AM223" s="5"/>
      <c r="AN223" s="2"/>
      <c r="AO223" s="2"/>
      <c r="AP223" s="2"/>
      <c r="AR223" s="2"/>
      <c r="AS223" s="2"/>
      <c r="AT223" s="2"/>
      <c r="AU223" s="2"/>
      <c r="AW223" s="2"/>
      <c r="AX223" s="2"/>
      <c r="AY223" s="2"/>
      <c r="AZ223" s="2"/>
      <c r="BB223" s="2"/>
      <c r="BC223" s="2"/>
      <c r="BD223" s="2"/>
      <c r="BE223" s="2"/>
    </row>
    <row r="224" customFormat="false" ht="12.8" hidden="false" customHeight="false" outlineLevel="0" collapsed="false">
      <c r="A224" s="2" t="n">
        <v>222</v>
      </c>
      <c r="B224" s="2" t="s">
        <v>228</v>
      </c>
      <c r="C224" s="2" t="n">
        <v>97.385</v>
      </c>
      <c r="D224" s="2" t="n">
        <f aca="false">100*LN(C224)</f>
        <v>457.867219468186</v>
      </c>
      <c r="E224" s="2" t="n">
        <f aca="false">E$2*COS((PI()*E$1*$A224)/6)</f>
        <v>0.16099</v>
      </c>
      <c r="F224" s="2" t="n">
        <f aca="false">F$2*SIN((PI()*F$1*$A224)/6)</f>
        <v>-1.62697653691362E-016</v>
      </c>
      <c r="G224" s="1" t="n">
        <f aca="false">G$2*COS((PI()*G$1*$A224)/6)</f>
        <v>0.289269</v>
      </c>
      <c r="H224" s="1" t="n">
        <f aca="false">H$2*SIN((PI()*H$1*$A224)/6)</f>
        <v>1.12981307107806E-015</v>
      </c>
      <c r="I224" s="1" t="n">
        <f aca="false">I$2*COS((PI()*I$1*$A224)/6)</f>
        <v>-0.086102</v>
      </c>
      <c r="J224" s="1" t="n">
        <f aca="false">J$2*SIN((PI()*J$1*$A224)/6)</f>
        <v>-9.75182002203695E-017</v>
      </c>
      <c r="K224" s="1" t="n">
        <f aca="false">K$2*COS((PI()*K$1*$A224)/6)</f>
        <v>0.058566</v>
      </c>
      <c r="L224" s="1" t="n">
        <f aca="false">L$2*SIN((PI()*L$1*$A224)/6)</f>
        <v>6.77342633881667E-017</v>
      </c>
      <c r="M224" s="1" t="n">
        <f aca="false">M$2*COS((PI()*M$1*$A224)/6)</f>
        <v>0.00265</v>
      </c>
      <c r="N224" s="1" t="n">
        <f aca="false">N$2*SIN((PI()*N$1*$A224)/6)</f>
        <v>-6.01800632715251E-016</v>
      </c>
      <c r="O224" s="2" t="n">
        <f aca="false">O$2*(-1)^(A224)</f>
        <v>0.114941</v>
      </c>
      <c r="P224" s="2" t="n">
        <f aca="false">100*LN(C224)</f>
        <v>457.867219468186</v>
      </c>
      <c r="Q224" s="2" t="n">
        <f aca="false">SUM(E224:O224)</f>
        <v>0.540314</v>
      </c>
      <c r="R224" s="2" t="n">
        <f aca="false">P224-Q224</f>
        <v>457.326905468186</v>
      </c>
      <c r="S224" s="1" t="n">
        <f aca="false">EXP(R224/100)</f>
        <v>96.8602341793618</v>
      </c>
      <c r="T224" s="2"/>
      <c r="U224" s="2"/>
      <c r="V224" s="4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L224" s="2"/>
      <c r="AM224" s="5"/>
      <c r="AN224" s="2"/>
      <c r="AO224" s="2"/>
      <c r="AP224" s="2"/>
      <c r="AR224" s="2"/>
      <c r="AS224" s="2"/>
      <c r="AT224" s="2"/>
      <c r="AU224" s="2"/>
      <c r="AW224" s="2"/>
      <c r="AX224" s="2"/>
      <c r="AY224" s="2"/>
      <c r="AZ224" s="2"/>
      <c r="BB224" s="2"/>
      <c r="BC224" s="2"/>
      <c r="BD224" s="2"/>
      <c r="BE224" s="2"/>
    </row>
    <row r="225" customFormat="false" ht="12.8" hidden="false" customHeight="false" outlineLevel="0" collapsed="false">
      <c r="A225" s="2" t="n">
        <v>223</v>
      </c>
      <c r="B225" s="2" t="s">
        <v>229</v>
      </c>
      <c r="C225" s="2" t="n">
        <v>96.511</v>
      </c>
      <c r="D225" s="2" t="n">
        <f aca="false">100*LN(C225)</f>
        <v>456.965699148592</v>
      </c>
      <c r="E225" s="2" t="n">
        <f aca="false">E$2*COS((PI()*E$1*$A225)/6)</f>
        <v>0.139421429755257</v>
      </c>
      <c r="F225" s="2" t="n">
        <f aca="false">F$2*SIN((PI()*F$1*$A225)/6)</f>
        <v>0.0831380000000003</v>
      </c>
      <c r="G225" s="1" t="n">
        <f aca="false">G$2*COS((PI()*G$1*$A225)/6)</f>
        <v>0.144634499999999</v>
      </c>
      <c r="H225" s="1" t="n">
        <f aca="false">H$2*SIN((PI()*H$1*$A225)/6)</f>
        <v>-0.499983312392275</v>
      </c>
      <c r="I225" s="1" t="n">
        <f aca="false">I$2*COS((PI()*I$1*$A225)/6)</f>
        <v>-7.16862976748946E-016</v>
      </c>
      <c r="J225" s="1" t="n">
        <f aca="false">J$2*SIN((PI()*J$1*$A225)/6)</f>
        <v>0.033221</v>
      </c>
      <c r="K225" s="1" t="n">
        <f aca="false">K$2*COS((PI()*K$1*$A225)/6)</f>
        <v>-0.0292830000000004</v>
      </c>
      <c r="L225" s="1" t="n">
        <f aca="false">L$2*SIN((PI()*L$1*$A225)/6)</f>
        <v>-0.0149874356378934</v>
      </c>
      <c r="M225" s="1" t="n">
        <f aca="false">M$2*COS((PI()*M$1*$A225)/6)</f>
        <v>-0.00229496732002879</v>
      </c>
      <c r="N225" s="1" t="n">
        <f aca="false">N$2*SIN((PI()*N$1*$A225)/6)</f>
        <v>-0.00579199999999976</v>
      </c>
      <c r="O225" s="2" t="n">
        <f aca="false">O$2*(-1)^(A225)</f>
        <v>-0.114941</v>
      </c>
      <c r="P225" s="2" t="n">
        <f aca="false">100*LN(C225)</f>
        <v>456.965699148592</v>
      </c>
      <c r="Q225" s="2" t="n">
        <f aca="false">SUM(E225:O225)</f>
        <v>-0.266866785594942</v>
      </c>
      <c r="R225" s="2" t="n">
        <f aca="false">P225-Q225</f>
        <v>457.232565934187</v>
      </c>
      <c r="S225" s="1" t="n">
        <f aca="false">EXP(R225/100)</f>
        <v>96.7688997748061</v>
      </c>
      <c r="T225" s="2"/>
      <c r="U225" s="2"/>
      <c r="V225" s="4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L225" s="2"/>
      <c r="AM225" s="5"/>
      <c r="AN225" s="2"/>
      <c r="AO225" s="2"/>
      <c r="AP225" s="2"/>
      <c r="AR225" s="2"/>
      <c r="AS225" s="2"/>
      <c r="AT225" s="2"/>
      <c r="AU225" s="2"/>
      <c r="AW225" s="2"/>
      <c r="AX225" s="2"/>
      <c r="AY225" s="2"/>
      <c r="AZ225" s="2"/>
      <c r="BB225" s="2"/>
      <c r="BC225" s="2"/>
      <c r="BD225" s="2"/>
      <c r="BE225" s="2"/>
    </row>
    <row r="226" customFormat="false" ht="12.8" hidden="false" customHeight="false" outlineLevel="0" collapsed="false">
      <c r="A226" s="2" t="n">
        <v>224</v>
      </c>
      <c r="B226" s="2" t="s">
        <v>230</v>
      </c>
      <c r="C226" s="2" t="n">
        <v>96.555</v>
      </c>
      <c r="D226" s="2" t="n">
        <f aca="false">100*LN(C226)</f>
        <v>457.011279417269</v>
      </c>
      <c r="E226" s="2" t="n">
        <f aca="false">E$2*COS((PI()*E$1*$A226)/6)</f>
        <v>0.0804950000000013</v>
      </c>
      <c r="F226" s="2" t="n">
        <f aca="false">F$2*SIN((PI()*F$1*$A226)/6)</f>
        <v>0.143999240039661</v>
      </c>
      <c r="G226" s="1" t="n">
        <f aca="false">G$2*COS((PI()*G$1*$A226)/6)</f>
        <v>-0.144634499999995</v>
      </c>
      <c r="H226" s="1" t="n">
        <f aca="false">H$2*SIN((PI()*H$1*$A226)/6)</f>
        <v>-0.499983312392279</v>
      </c>
      <c r="I226" s="1" t="n">
        <f aca="false">I$2*COS((PI()*I$1*$A226)/6)</f>
        <v>0.086102</v>
      </c>
      <c r="J226" s="1" t="n">
        <f aca="false">J$2*SIN((PI()*J$1*$A226)/6)</f>
        <v>4.55660702722111E-016</v>
      </c>
      <c r="K226" s="1" t="n">
        <f aca="false">K$2*COS((PI()*K$1*$A226)/6)</f>
        <v>-0.0292830000000019</v>
      </c>
      <c r="L226" s="1" t="n">
        <f aca="false">L$2*SIN((PI()*L$1*$A226)/6)</f>
        <v>0.0149874356378932</v>
      </c>
      <c r="M226" s="1" t="n">
        <f aca="false">M$2*COS((PI()*M$1*$A226)/6)</f>
        <v>0.00132499999999999</v>
      </c>
      <c r="N226" s="1" t="n">
        <f aca="false">N$2*SIN((PI()*N$1*$A226)/6)</f>
        <v>0.010032038277439</v>
      </c>
      <c r="O226" s="2" t="n">
        <f aca="false">O$2*(-1)^(A226)</f>
        <v>0.114941</v>
      </c>
      <c r="P226" s="2" t="n">
        <f aca="false">100*LN(C226)</f>
        <v>457.011279417269</v>
      </c>
      <c r="Q226" s="2" t="n">
        <f aca="false">SUM(E226:O226)</f>
        <v>-0.222019098437282</v>
      </c>
      <c r="R226" s="2" t="n">
        <f aca="false">P226-Q226</f>
        <v>457.233298515706</v>
      </c>
      <c r="S226" s="1" t="n">
        <f aca="false">EXP(R226/100)</f>
        <v>96.7696086884789</v>
      </c>
      <c r="T226" s="2"/>
      <c r="U226" s="2"/>
      <c r="V226" s="4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L226" s="2"/>
      <c r="AM226" s="5"/>
      <c r="AN226" s="2"/>
      <c r="AO226" s="2"/>
      <c r="AP226" s="2"/>
      <c r="AR226" s="2"/>
      <c r="AS226" s="2"/>
      <c r="AT226" s="2"/>
      <c r="AU226" s="2"/>
      <c r="AW226" s="2"/>
      <c r="AX226" s="2"/>
      <c r="AY226" s="2"/>
      <c r="AZ226" s="2"/>
      <c r="BB226" s="2"/>
      <c r="BC226" s="2"/>
      <c r="BD226" s="2"/>
      <c r="BE226" s="2"/>
    </row>
    <row r="227" customFormat="false" ht="12.8" hidden="false" customHeight="false" outlineLevel="0" collapsed="false">
      <c r="A227" s="2" t="n">
        <v>225</v>
      </c>
      <c r="B227" s="2" t="s">
        <v>231</v>
      </c>
      <c r="C227" s="2" t="n">
        <v>96.7</v>
      </c>
      <c r="D227" s="2" t="n">
        <f aca="false">100*LN(C227)</f>
        <v>457.161340245925</v>
      </c>
      <c r="E227" s="2" t="n">
        <f aca="false">E$2*COS((PI()*E$1*$A227)/6)</f>
        <v>1.02531026830529E-015</v>
      </c>
      <c r="F227" s="2" t="n">
        <f aca="false">F$2*SIN((PI()*F$1*$A227)/6)</f>
        <v>0.166276</v>
      </c>
      <c r="G227" s="1" t="n">
        <f aca="false">G$2*COS((PI()*G$1*$A227)/6)</f>
        <v>-0.289269</v>
      </c>
      <c r="H227" s="1" t="n">
        <f aca="false">H$2*SIN((PI()*H$1*$A227)/6)</f>
        <v>-7.35379094988463E-015</v>
      </c>
      <c r="I227" s="1" t="n">
        <f aca="false">I$2*COS((PI()*I$1*$A227)/6)</f>
        <v>-3.24923736061808E-015</v>
      </c>
      <c r="J227" s="1" t="n">
        <f aca="false">J$2*SIN((PI()*J$1*$A227)/6)</f>
        <v>-0.033221</v>
      </c>
      <c r="K227" s="1" t="n">
        <f aca="false">K$2*COS((PI()*K$1*$A227)/6)</f>
        <v>0.058566</v>
      </c>
      <c r="L227" s="1" t="n">
        <f aca="false">L$2*SIN((PI()*L$1*$A227)/6)</f>
        <v>4.40872588441304E-016</v>
      </c>
      <c r="M227" s="1" t="n">
        <f aca="false">M$2*COS((PI()*M$1*$A227)/6)</f>
        <v>8.43863659546874E-017</v>
      </c>
      <c r="N227" s="1" t="n">
        <f aca="false">N$2*SIN((PI()*N$1*$A227)/6)</f>
        <v>-0.011584</v>
      </c>
      <c r="O227" s="2" t="n">
        <f aca="false">O$2*(-1)^(A227)</f>
        <v>-0.114941</v>
      </c>
      <c r="P227" s="2" t="n">
        <f aca="false">100*LN(C227)</f>
        <v>457.161340245925</v>
      </c>
      <c r="Q227" s="2" t="n">
        <f aca="false">SUM(E227:O227)</f>
        <v>-0.224173000000009</v>
      </c>
      <c r="R227" s="2" t="n">
        <f aca="false">P227-Q227</f>
        <v>457.385513245925</v>
      </c>
      <c r="S227" s="1" t="n">
        <f aca="false">EXP(R227/100)</f>
        <v>96.9170184485004</v>
      </c>
      <c r="T227" s="2"/>
      <c r="U227" s="2"/>
      <c r="V227" s="4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L227" s="2"/>
      <c r="AM227" s="5"/>
      <c r="AN227" s="2"/>
      <c r="AO227" s="2"/>
      <c r="AP227" s="2"/>
      <c r="AR227" s="2"/>
      <c r="AS227" s="2"/>
      <c r="AT227" s="2"/>
      <c r="AU227" s="2"/>
      <c r="AW227" s="2"/>
      <c r="AX227" s="2"/>
      <c r="AY227" s="2"/>
      <c r="AZ227" s="2"/>
      <c r="BB227" s="2"/>
      <c r="BC227" s="2"/>
      <c r="BD227" s="2"/>
      <c r="BE227" s="2"/>
    </row>
    <row r="228" customFormat="false" ht="12.8" hidden="false" customHeight="false" outlineLevel="0" collapsed="false">
      <c r="A228" s="2" t="n">
        <v>226</v>
      </c>
      <c r="B228" s="2" t="s">
        <v>232</v>
      </c>
      <c r="C228" s="2" t="n">
        <v>97.208</v>
      </c>
      <c r="D228" s="2" t="n">
        <f aca="false">100*LN(C228)</f>
        <v>457.685301260631</v>
      </c>
      <c r="E228" s="2" t="n">
        <f aca="false">E$2*COS((PI()*E$1*$A228)/6)</f>
        <v>-0.0804949999999995</v>
      </c>
      <c r="F228" s="2" t="n">
        <f aca="false">F$2*SIN((PI()*F$1*$A228)/6)</f>
        <v>0.143999240039662</v>
      </c>
      <c r="G228" s="1" t="n">
        <f aca="false">G$2*COS((PI()*G$1*$A228)/6)</f>
        <v>-0.144634500000002</v>
      </c>
      <c r="H228" s="1" t="n">
        <f aca="false">H$2*SIN((PI()*H$1*$A228)/6)</f>
        <v>0.499983312392272</v>
      </c>
      <c r="I228" s="1" t="n">
        <f aca="false">I$2*COS((PI()*I$1*$A228)/6)</f>
        <v>-0.086102</v>
      </c>
      <c r="J228" s="1" t="n">
        <f aca="false">J$2*SIN((PI()*J$1*$A228)/6)</f>
        <v>-8.13803205223853E-016</v>
      </c>
      <c r="K228" s="1" t="n">
        <f aca="false">K$2*COS((PI()*K$1*$A228)/6)</f>
        <v>-0.0292829999999993</v>
      </c>
      <c r="L228" s="1" t="n">
        <f aca="false">L$2*SIN((PI()*L$1*$A228)/6)</f>
        <v>-0.0149874356378936</v>
      </c>
      <c r="M228" s="1" t="n">
        <f aca="false">M$2*COS((PI()*M$1*$A228)/6)</f>
        <v>-0.00132500000000014</v>
      </c>
      <c r="N228" s="1" t="n">
        <f aca="false">N$2*SIN((PI()*N$1*$A228)/6)</f>
        <v>0.0100320382774386</v>
      </c>
      <c r="O228" s="2" t="n">
        <f aca="false">O$2*(-1)^(A228)</f>
        <v>0.114941</v>
      </c>
      <c r="P228" s="2" t="n">
        <f aca="false">100*LN(C228)</f>
        <v>457.685301260631</v>
      </c>
      <c r="Q228" s="2" t="n">
        <f aca="false">SUM(E228:O228)</f>
        <v>0.412128655071477</v>
      </c>
      <c r="R228" s="2" t="n">
        <f aca="false">P228-Q228</f>
        <v>457.27317260556</v>
      </c>
      <c r="S228" s="1" t="n">
        <f aca="false">EXP(R228/100)</f>
        <v>96.808202383129</v>
      </c>
      <c r="T228" s="2"/>
      <c r="U228" s="2"/>
      <c r="V228" s="4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L228" s="2"/>
      <c r="AM228" s="5"/>
      <c r="AN228" s="2"/>
      <c r="AO228" s="2"/>
      <c r="AP228" s="2"/>
      <c r="AR228" s="2"/>
      <c r="AS228" s="2"/>
      <c r="AT228" s="2"/>
      <c r="AU228" s="2"/>
      <c r="AW228" s="2"/>
      <c r="AX228" s="2"/>
      <c r="AY228" s="2"/>
      <c r="AZ228" s="2"/>
      <c r="BB228" s="2"/>
      <c r="BC228" s="2"/>
      <c r="BD228" s="2"/>
      <c r="BE228" s="2"/>
    </row>
    <row r="229" customFormat="false" ht="12.8" hidden="false" customHeight="false" outlineLevel="0" collapsed="false">
      <c r="A229" s="2" t="n">
        <v>227</v>
      </c>
      <c r="B229" s="2" t="s">
        <v>233</v>
      </c>
      <c r="C229" s="2" t="n">
        <v>97.367</v>
      </c>
      <c r="D229" s="2" t="n">
        <f aca="false">100*LN(C229)</f>
        <v>457.848734420483</v>
      </c>
      <c r="E229" s="2" t="n">
        <f aca="false">E$2*COS((PI()*E$1*$A229)/6)</f>
        <v>-0.139421429755256</v>
      </c>
      <c r="F229" s="2" t="n">
        <f aca="false">F$2*SIN((PI()*F$1*$A229)/6)</f>
        <v>0.0831380000000021</v>
      </c>
      <c r="G229" s="1" t="n">
        <f aca="false">G$2*COS((PI()*G$1*$A229)/6)</f>
        <v>0.144634499999993</v>
      </c>
      <c r="H229" s="1" t="n">
        <f aca="false">H$2*SIN((PI()*H$1*$A229)/6)</f>
        <v>0.499983312392282</v>
      </c>
      <c r="I229" s="1" t="n">
        <f aca="false">I$2*COS((PI()*I$1*$A229)/6)</f>
        <v>-2.57332640352147E-015</v>
      </c>
      <c r="J229" s="1" t="n">
        <f aca="false">J$2*SIN((PI()*J$1*$A229)/6)</f>
        <v>0.033221</v>
      </c>
      <c r="K229" s="1" t="n">
        <f aca="false">K$2*COS((PI()*K$1*$A229)/6)</f>
        <v>-0.029283000000003</v>
      </c>
      <c r="L229" s="1" t="n">
        <f aca="false">L$2*SIN((PI()*L$1*$A229)/6)</f>
        <v>0.014987435637893</v>
      </c>
      <c r="M229" s="1" t="n">
        <f aca="false">M$2*COS((PI()*M$1*$A229)/6)</f>
        <v>0.00229496732002888</v>
      </c>
      <c r="N229" s="1" t="n">
        <f aca="false">N$2*SIN((PI()*N$1*$A229)/6)</f>
        <v>-0.00579199999999912</v>
      </c>
      <c r="O229" s="2" t="n">
        <f aca="false">O$2*(-1)^(A229)</f>
        <v>-0.114941</v>
      </c>
      <c r="P229" s="2" t="n">
        <f aca="false">100*LN(C229)</f>
        <v>457.848734420483</v>
      </c>
      <c r="Q229" s="2" t="n">
        <f aca="false">SUM(E229:O229)</f>
        <v>0.488821785594939</v>
      </c>
      <c r="R229" s="2" t="n">
        <f aca="false">P229-Q229</f>
        <v>457.359912634888</v>
      </c>
      <c r="S229" s="1" t="n">
        <f aca="false">EXP(R229/100)</f>
        <v>96.8922102752368</v>
      </c>
      <c r="T229" s="2"/>
      <c r="U229" s="2"/>
      <c r="V229" s="4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L229" s="2"/>
      <c r="AM229" s="5"/>
      <c r="AN229" s="2"/>
      <c r="AO229" s="2"/>
      <c r="AP229" s="2"/>
      <c r="AR229" s="2"/>
      <c r="AS229" s="2"/>
      <c r="AT229" s="2"/>
      <c r="AU229" s="2"/>
      <c r="AW229" s="2"/>
      <c r="AX229" s="2"/>
      <c r="AY229" s="2"/>
      <c r="AZ229" s="2"/>
      <c r="BB229" s="2"/>
      <c r="BC229" s="2"/>
      <c r="BD229" s="2"/>
      <c r="BE229" s="2"/>
    </row>
    <row r="230" customFormat="false" ht="12.8" hidden="false" customHeight="false" outlineLevel="0" collapsed="false">
      <c r="A230" s="2" t="n">
        <v>228</v>
      </c>
      <c r="B230" s="2" t="s">
        <v>234</v>
      </c>
      <c r="C230" s="2" t="n">
        <v>97.574</v>
      </c>
      <c r="D230" s="2" t="n">
        <f aca="false">100*LN(C230)</f>
        <v>458.061106448739</v>
      </c>
      <c r="E230" s="2" t="n">
        <f aca="false">E$2*COS((PI()*E$1*$A230)/6)</f>
        <v>-0.16099</v>
      </c>
      <c r="F230" s="2" t="n">
        <f aca="false">F$2*SIN((PI()*F$1*$A230)/6)</f>
        <v>1.95525364977756E-015</v>
      </c>
      <c r="G230" s="1" t="n">
        <f aca="false">G$2*COS((PI()*G$1*$A230)/6)</f>
        <v>0.289269</v>
      </c>
      <c r="H230" s="1" t="n">
        <f aca="false">H$2*SIN((PI()*H$1*$A230)/6)</f>
        <v>1.35777688286912E-014</v>
      </c>
      <c r="I230" s="1" t="n">
        <f aca="false">I$2*COS((PI()*I$1*$A230)/6)</f>
        <v>0.086102</v>
      </c>
      <c r="J230" s="1" t="n">
        <f aca="false">J$2*SIN((PI()*J$1*$A230)/6)</f>
        <v>1.17194570772559E-015</v>
      </c>
      <c r="K230" s="1" t="n">
        <f aca="false">K$2*COS((PI()*K$1*$A230)/6)</f>
        <v>0.058566</v>
      </c>
      <c r="L230" s="1" t="n">
        <f aca="false">L$2*SIN((PI()*L$1*$A230)/6)</f>
        <v>8.14010913494442E-016</v>
      </c>
      <c r="M230" s="1" t="n">
        <f aca="false">M$2*COS((PI()*M$1*$A230)/6)</f>
        <v>-0.00265</v>
      </c>
      <c r="N230" s="1" t="n">
        <f aca="false">N$2*SIN((PI()*N$1*$A230)/6)</f>
        <v>-2.26120503737858E-017</v>
      </c>
      <c r="O230" s="2" t="n">
        <f aca="false">O$2*(-1)^(A230)</f>
        <v>0.114941</v>
      </c>
      <c r="P230" s="2" t="n">
        <f aca="false">100*LN(C230)</f>
        <v>458.061106448739</v>
      </c>
      <c r="Q230" s="2" t="n">
        <f aca="false">SUM(E230:O230)</f>
        <v>0.385238000000018</v>
      </c>
      <c r="R230" s="2" t="n">
        <f aca="false">P230-Q230</f>
        <v>457.675868448739</v>
      </c>
      <c r="S230" s="1" t="n">
        <f aca="false">EXP(R230/100)</f>
        <v>97.1988309846706</v>
      </c>
      <c r="T230" s="2"/>
      <c r="U230" s="2"/>
      <c r="V230" s="4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L230" s="2"/>
      <c r="AM230" s="5"/>
      <c r="AN230" s="2"/>
      <c r="AO230" s="2"/>
      <c r="AP230" s="2"/>
      <c r="AR230" s="2"/>
      <c r="AS230" s="2"/>
      <c r="AT230" s="2"/>
      <c r="AU230" s="2"/>
      <c r="AW230" s="2"/>
      <c r="AX230" s="2"/>
      <c r="AY230" s="2"/>
      <c r="AZ230" s="2"/>
      <c r="BB230" s="2"/>
      <c r="BC230" s="2"/>
      <c r="BD230" s="2"/>
      <c r="BE230" s="2"/>
    </row>
    <row r="231" customFormat="false" ht="12.8" hidden="false" customHeight="false" outlineLevel="0" collapsed="false">
      <c r="A231" s="2" t="n">
        <v>229</v>
      </c>
      <c r="B231" s="2" t="s">
        <v>235</v>
      </c>
      <c r="C231" s="2" t="n">
        <v>97.583</v>
      </c>
      <c r="D231" s="2" t="n">
        <f aca="false">100*LN(C231)</f>
        <v>458.070329792002</v>
      </c>
      <c r="E231" s="2" t="n">
        <f aca="false">E$2*COS((PI()*E$1*$A231)/6)</f>
        <v>-0.139421429755257</v>
      </c>
      <c r="F231" s="2" t="n">
        <f aca="false">F$2*SIN((PI()*F$1*$A231)/6)</f>
        <v>-0.0831379999999987</v>
      </c>
      <c r="G231" s="1" t="n">
        <f aca="false">G$2*COS((PI()*G$1*$A231)/6)</f>
        <v>0.144634500000004</v>
      </c>
      <c r="H231" s="1" t="n">
        <f aca="false">H$2*SIN((PI()*H$1*$A231)/6)</f>
        <v>-0.499983312392269</v>
      </c>
      <c r="I231" s="1" t="n">
        <f aca="false">I$2*COS((PI()*I$1*$A231)/6)</f>
        <v>-1.39277393384556E-015</v>
      </c>
      <c r="J231" s="1" t="n">
        <f aca="false">J$2*SIN((PI()*J$1*$A231)/6)</f>
        <v>-0.033221</v>
      </c>
      <c r="K231" s="1" t="n">
        <f aca="false">K$2*COS((PI()*K$1*$A231)/6)</f>
        <v>-0.0292829999999982</v>
      </c>
      <c r="L231" s="1" t="n">
        <f aca="false">L$2*SIN((PI()*L$1*$A231)/6)</f>
        <v>-0.0149874356378938</v>
      </c>
      <c r="M231" s="1" t="n">
        <f aca="false">M$2*COS((PI()*M$1*$A231)/6)</f>
        <v>0.00229496732002872</v>
      </c>
      <c r="N231" s="1" t="n">
        <f aca="false">N$2*SIN((PI()*N$1*$A231)/6)</f>
        <v>0.0057920000000003</v>
      </c>
      <c r="O231" s="2" t="n">
        <f aca="false">O$2*(-1)^(A231)</f>
        <v>-0.114941</v>
      </c>
      <c r="P231" s="2" t="n">
        <f aca="false">100*LN(C231)</f>
        <v>458.070329792002</v>
      </c>
      <c r="Q231" s="2" t="n">
        <f aca="false">SUM(E231:O231)</f>
        <v>-0.762253710465385</v>
      </c>
      <c r="R231" s="2" t="n">
        <f aca="false">P231-Q231</f>
        <v>458.832583502468</v>
      </c>
      <c r="S231" s="1" t="n">
        <f aca="false">EXP(R231/100)</f>
        <v>98.3296721911991</v>
      </c>
      <c r="T231" s="2"/>
      <c r="U231" s="2"/>
      <c r="V231" s="4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L231" s="2"/>
      <c r="AM231" s="5"/>
      <c r="AN231" s="2"/>
      <c r="AO231" s="2"/>
      <c r="AP231" s="2"/>
      <c r="AR231" s="2"/>
      <c r="AS231" s="2"/>
      <c r="AT231" s="2"/>
      <c r="AU231" s="2"/>
      <c r="AW231" s="2"/>
      <c r="AX231" s="2"/>
      <c r="AY231" s="2"/>
      <c r="AZ231" s="2"/>
      <c r="BB231" s="2"/>
      <c r="BC231" s="2"/>
      <c r="BD231" s="2"/>
      <c r="BE231" s="2"/>
    </row>
    <row r="232" customFormat="false" ht="12.8" hidden="false" customHeight="false" outlineLevel="0" collapsed="false">
      <c r="A232" s="2" t="n">
        <v>230</v>
      </c>
      <c r="B232" s="2" t="s">
        <v>236</v>
      </c>
      <c r="C232" s="2" t="n">
        <v>97.008</v>
      </c>
      <c r="D232" s="2" t="n">
        <f aca="false">100*LN(C232)</f>
        <v>457.479344932938</v>
      </c>
      <c r="E232" s="2" t="n">
        <f aca="false">E$2*COS((PI()*E$1*$A232)/6)</f>
        <v>-0.0804949999999988</v>
      </c>
      <c r="F232" s="2" t="n">
        <f aca="false">F$2*SIN((PI()*F$1*$A232)/6)</f>
        <v>-0.143999240039662</v>
      </c>
      <c r="G232" s="1" t="n">
        <f aca="false">G$2*COS((PI()*G$1*$A232)/6)</f>
        <v>-0.144634500000004</v>
      </c>
      <c r="H232" s="1" t="n">
        <f aca="false">H$2*SIN((PI()*H$1*$A232)/6)</f>
        <v>-0.499983312392269</v>
      </c>
      <c r="I232" s="1" t="n">
        <f aca="false">I$2*COS((PI()*I$1*$A232)/6)</f>
        <v>-0.086102</v>
      </c>
      <c r="J232" s="1" t="n">
        <f aca="false">J$2*SIN((PI()*J$1*$A232)/6)</f>
        <v>3.58307007747567E-016</v>
      </c>
      <c r="K232" s="1" t="n">
        <f aca="false">K$2*COS((PI()*K$1*$A232)/6)</f>
        <v>-0.0292829999999983</v>
      </c>
      <c r="L232" s="1" t="n">
        <f aca="false">L$2*SIN((PI()*L$1*$A232)/6)</f>
        <v>0.0149874356378938</v>
      </c>
      <c r="M232" s="1" t="n">
        <f aca="false">M$2*COS((PI()*M$1*$A232)/6)</f>
        <v>-0.00132499999999987</v>
      </c>
      <c r="N232" s="1" t="n">
        <f aca="false">N$2*SIN((PI()*N$1*$A232)/6)</f>
        <v>-0.0100320382774393</v>
      </c>
      <c r="O232" s="2" t="n">
        <f aca="false">O$2*(-1)^(A232)</f>
        <v>0.114941</v>
      </c>
      <c r="P232" s="2" t="n">
        <f aca="false">100*LN(C232)</f>
        <v>457.479344932938</v>
      </c>
      <c r="Q232" s="2" t="n">
        <f aca="false">SUM(E232:O232)</f>
        <v>-0.865925655071477</v>
      </c>
      <c r="R232" s="2" t="n">
        <f aca="false">P232-Q232</f>
        <v>458.345270588009</v>
      </c>
      <c r="S232" s="1" t="n">
        <f aca="false">EXP(R232/100)</f>
        <v>97.8516646420782</v>
      </c>
      <c r="T232" s="2"/>
      <c r="U232" s="2"/>
      <c r="V232" s="4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L232" s="2"/>
      <c r="AM232" s="5"/>
      <c r="AN232" s="2"/>
      <c r="AO232" s="2"/>
      <c r="AP232" s="2"/>
      <c r="AR232" s="2"/>
      <c r="AS232" s="2"/>
      <c r="AT232" s="2"/>
      <c r="AU232" s="2"/>
      <c r="AW232" s="2"/>
      <c r="AX232" s="2"/>
      <c r="AY232" s="2"/>
      <c r="AZ232" s="2"/>
      <c r="BB232" s="2"/>
      <c r="BC232" s="2"/>
      <c r="BD232" s="2"/>
      <c r="BE232" s="2"/>
    </row>
    <row r="233" customFormat="false" ht="12.8" hidden="false" customHeight="false" outlineLevel="0" collapsed="false">
      <c r="A233" s="2" t="n">
        <v>231</v>
      </c>
      <c r="B233" s="2" t="s">
        <v>237</v>
      </c>
      <c r="C233" s="2" t="n">
        <v>97.949</v>
      </c>
      <c r="D233" s="2" t="n">
        <f aca="false">100*LN(C233)</f>
        <v>458.444693504798</v>
      </c>
      <c r="E233" s="2" t="n">
        <f aca="false">E$2*COS((PI()*E$1*$A233)/6)</f>
        <v>-4.73074481974673E-016</v>
      </c>
      <c r="F233" s="2" t="n">
        <f aca="false">F$2*SIN((PI()*F$1*$A233)/6)</f>
        <v>-0.166276</v>
      </c>
      <c r="G233" s="1" t="n">
        <f aca="false">G$2*COS((PI()*G$1*$A233)/6)</f>
        <v>-0.289269</v>
      </c>
      <c r="H233" s="1" t="n">
        <f aca="false">H$2*SIN((PI()*H$1*$A233)/6)</f>
        <v>-3.39301278033319E-015</v>
      </c>
      <c r="I233" s="1" t="n">
        <f aca="false">I$2*COS((PI()*I$1*$A233)/6)</f>
        <v>-4.42978983029399E-015</v>
      </c>
      <c r="J233" s="1" t="n">
        <f aca="false">J$2*SIN((PI()*J$1*$A233)/6)</f>
        <v>0.033221</v>
      </c>
      <c r="K233" s="1" t="n">
        <f aca="false">K$2*COS((PI()*K$1*$A233)/6)</f>
        <v>0.058566</v>
      </c>
      <c r="L233" s="1" t="n">
        <f aca="false">L$2*SIN((PI()*L$1*$A233)/6)</f>
        <v>2.03417031742436E-016</v>
      </c>
      <c r="M233" s="1" t="n">
        <f aca="false">M$2*COS((PI()*M$1*$A233)/6)</f>
        <v>7.40407282664049E-017</v>
      </c>
      <c r="N233" s="1" t="n">
        <f aca="false">N$2*SIN((PI()*N$1*$A233)/6)</f>
        <v>0.011584</v>
      </c>
      <c r="O233" s="2" t="n">
        <f aca="false">O$2*(-1)^(A233)</f>
        <v>-0.114941</v>
      </c>
      <c r="P233" s="2" t="n">
        <f aca="false">100*LN(C233)</f>
        <v>458.444693504798</v>
      </c>
      <c r="Q233" s="2" t="n">
        <f aca="false">SUM(E233:O233)</f>
        <v>-0.467115000000008</v>
      </c>
      <c r="R233" s="2" t="n">
        <f aca="false">P233-Q233</f>
        <v>458.911808504798</v>
      </c>
      <c r="S233" s="1" t="n">
        <f aca="false">EXP(R233/100)</f>
        <v>98.4076047432409</v>
      </c>
      <c r="T233" s="2"/>
      <c r="U233" s="2"/>
      <c r="V233" s="4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L233" s="2"/>
      <c r="AM233" s="5"/>
      <c r="AN233" s="2"/>
      <c r="AO233" s="2"/>
      <c r="AP233" s="2"/>
      <c r="AR233" s="2"/>
      <c r="AS233" s="2"/>
      <c r="AT233" s="2"/>
      <c r="AU233" s="2"/>
      <c r="AW233" s="2"/>
      <c r="AX233" s="2"/>
      <c r="AY233" s="2"/>
      <c r="AZ233" s="2"/>
      <c r="BB233" s="2"/>
      <c r="BC233" s="2"/>
      <c r="BD233" s="2"/>
      <c r="BE233" s="2"/>
    </row>
    <row r="234" customFormat="false" ht="12.8" hidden="false" customHeight="false" outlineLevel="0" collapsed="false">
      <c r="A234" s="2" t="n">
        <v>232</v>
      </c>
      <c r="B234" s="2" t="s">
        <v>238</v>
      </c>
      <c r="C234" s="2" t="n">
        <v>99.105</v>
      </c>
      <c r="D234" s="2" t="n">
        <f aca="false">100*LN(C234)</f>
        <v>459.617989414996</v>
      </c>
      <c r="E234" s="2" t="n">
        <f aca="false">E$2*COS((PI()*E$1*$A234)/6)</f>
        <v>0.080495</v>
      </c>
      <c r="F234" s="2" t="n">
        <f aca="false">F$2*SIN((PI()*F$1*$A234)/6)</f>
        <v>-0.143999240039661</v>
      </c>
      <c r="G234" s="1" t="n">
        <f aca="false">G$2*COS((PI()*G$1*$A234)/6)</f>
        <v>-0.1446345</v>
      </c>
      <c r="H234" s="1" t="n">
        <f aca="false">H$2*SIN((PI()*H$1*$A234)/6)</f>
        <v>0.499983312392274</v>
      </c>
      <c r="I234" s="1" t="n">
        <f aca="false">I$2*COS((PI()*I$1*$A234)/6)</f>
        <v>0.086102</v>
      </c>
      <c r="J234" s="1" t="n">
        <f aca="false">J$2*SIN((PI()*J$1*$A234)/6)</f>
        <v>1.88823071272908E-015</v>
      </c>
      <c r="K234" s="1" t="n">
        <f aca="false">K$2*COS((PI()*K$1*$A234)/6)</f>
        <v>-0.029283</v>
      </c>
      <c r="L234" s="1" t="n">
        <f aca="false">L$2*SIN((PI()*L$1*$A234)/6)</f>
        <v>-0.0149874356378935</v>
      </c>
      <c r="M234" s="1" t="n">
        <f aca="false">M$2*COS((PI()*M$1*$A234)/6)</f>
        <v>0.001325</v>
      </c>
      <c r="N234" s="1" t="n">
        <f aca="false">N$2*SIN((PI()*N$1*$A234)/6)</f>
        <v>-0.0100320382774389</v>
      </c>
      <c r="O234" s="2" t="n">
        <f aca="false">O$2*(-1)^(A234)</f>
        <v>0.114941</v>
      </c>
      <c r="P234" s="2" t="n">
        <f aca="false">100*LN(C234)</f>
        <v>459.617989414996</v>
      </c>
      <c r="Q234" s="2" t="n">
        <f aca="false">SUM(E234:O234)</f>
        <v>0.439910098437282</v>
      </c>
      <c r="R234" s="2" t="n">
        <f aca="false">P234-Q234</f>
        <v>459.178079316559</v>
      </c>
      <c r="S234" s="1" t="n">
        <f aca="false">EXP(R234/100)</f>
        <v>98.6699846367379</v>
      </c>
      <c r="T234" s="2"/>
      <c r="U234" s="2"/>
      <c r="V234" s="4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L234" s="2"/>
      <c r="AM234" s="5"/>
      <c r="AN234" s="2"/>
      <c r="AO234" s="2"/>
      <c r="AP234" s="2"/>
      <c r="AR234" s="2"/>
      <c r="AS234" s="2"/>
      <c r="AT234" s="2"/>
      <c r="AU234" s="2"/>
      <c r="AW234" s="2"/>
      <c r="AX234" s="2"/>
      <c r="AY234" s="2"/>
      <c r="AZ234" s="2"/>
      <c r="BB234" s="2"/>
      <c r="BC234" s="2"/>
      <c r="BD234" s="2"/>
      <c r="BE234" s="2"/>
    </row>
    <row r="235" customFormat="false" ht="12.8" hidden="false" customHeight="false" outlineLevel="0" collapsed="false">
      <c r="A235" s="2" t="n">
        <v>233</v>
      </c>
      <c r="B235" s="2" t="s">
        <v>239</v>
      </c>
      <c r="C235" s="2" t="n">
        <v>99.572</v>
      </c>
      <c r="D235" s="2" t="n">
        <f aca="false">100*LN(C235)</f>
        <v>460.088100056966</v>
      </c>
      <c r="E235" s="2" t="n">
        <f aca="false">E$2*COS((PI()*E$1*$A235)/6)</f>
        <v>0.139421429755257</v>
      </c>
      <c r="F235" s="2" t="n">
        <f aca="false">F$2*SIN((PI()*F$1*$A235)/6)</f>
        <v>-0.0831379999999996</v>
      </c>
      <c r="G235" s="1" t="n">
        <f aca="false">G$2*COS((PI()*G$1*$A235)/6)</f>
        <v>0.144634500000001</v>
      </c>
      <c r="H235" s="1" t="n">
        <f aca="false">H$2*SIN((PI()*H$1*$A235)/6)</f>
        <v>0.499983312392272</v>
      </c>
      <c r="I235" s="1" t="n">
        <f aca="false">I$2*COS((PI()*I$1*$A235)/6)</f>
        <v>4.63689492926958E-016</v>
      </c>
      <c r="J235" s="1" t="n">
        <f aca="false">J$2*SIN((PI()*J$1*$A235)/6)</f>
        <v>-0.033221</v>
      </c>
      <c r="K235" s="1" t="n">
        <f aca="false">K$2*COS((PI()*K$1*$A235)/6)</f>
        <v>-0.0292829999999994</v>
      </c>
      <c r="L235" s="1" t="n">
        <f aca="false">L$2*SIN((PI()*L$1*$A235)/6)</f>
        <v>0.0149874356378936</v>
      </c>
      <c r="M235" s="1" t="n">
        <f aca="false">M$2*COS((PI()*M$1*$A235)/6)</f>
        <v>-0.0022949673200288</v>
      </c>
      <c r="N235" s="1" t="n">
        <f aca="false">N$2*SIN((PI()*N$1*$A235)/6)</f>
        <v>0.00579199999999972</v>
      </c>
      <c r="O235" s="2" t="n">
        <f aca="false">O$2*(-1)^(A235)</f>
        <v>-0.114941</v>
      </c>
      <c r="P235" s="2" t="n">
        <f aca="false">100*LN(C235)</f>
        <v>460.088100056966</v>
      </c>
      <c r="Q235" s="2" t="n">
        <f aca="false">SUM(E235:O235)</f>
        <v>0.541940710465397</v>
      </c>
      <c r="R235" s="2" t="n">
        <f aca="false">P235-Q235</f>
        <v>459.546159346501</v>
      </c>
      <c r="S235" s="1" t="n">
        <f aca="false">EXP(R235/100)</f>
        <v>99.0338383714009</v>
      </c>
      <c r="T235" s="2"/>
      <c r="U235" s="2"/>
      <c r="V235" s="4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L235" s="2"/>
      <c r="AM235" s="5"/>
      <c r="AN235" s="2"/>
      <c r="AO235" s="2"/>
      <c r="AP235" s="2"/>
      <c r="AR235" s="2"/>
      <c r="AS235" s="2"/>
      <c r="AT235" s="2"/>
      <c r="AU235" s="2"/>
      <c r="AW235" s="2"/>
      <c r="AX235" s="2"/>
      <c r="AY235" s="2"/>
      <c r="AZ235" s="2"/>
      <c r="BB235" s="2"/>
      <c r="BC235" s="2"/>
      <c r="BD235" s="2"/>
      <c r="BE235" s="2"/>
    </row>
    <row r="236" customFormat="false" ht="12.8" hidden="false" customHeight="false" outlineLevel="0" collapsed="false">
      <c r="A236" s="2" t="n">
        <v>234</v>
      </c>
      <c r="B236" s="2" t="s">
        <v>240</v>
      </c>
      <c r="C236" s="2" t="n">
        <v>100.046</v>
      </c>
      <c r="D236" s="2" t="n">
        <f aca="false">100*LN(C236)</f>
        <v>460.563008022053</v>
      </c>
      <c r="E236" s="2" t="n">
        <f aca="false">E$2*COS((PI()*E$1*$A236)/6)</f>
        <v>0.16099</v>
      </c>
      <c r="F236" s="2" t="n">
        <f aca="false">F$2*SIN((PI()*F$1*$A236)/6)</f>
        <v>-1.38488556723883E-015</v>
      </c>
      <c r="G236" s="1" t="n">
        <f aca="false">G$2*COS((PI()*G$1*$A236)/6)</f>
        <v>0.289269</v>
      </c>
      <c r="H236" s="1" t="n">
        <f aca="false">H$2*SIN((PI()*H$1*$A236)/6)</f>
        <v>9.61699065913976E-015</v>
      </c>
      <c r="I236" s="1" t="n">
        <f aca="false">I$2*COS((PI()*I$1*$A236)/6)</f>
        <v>-0.086102</v>
      </c>
      <c r="J236" s="1" t="n">
        <f aca="false">J$2*SIN((PI()*J$1*$A236)/6)</f>
        <v>-3.57977997255917E-016</v>
      </c>
      <c r="K236" s="1" t="n">
        <f aca="false">K$2*COS((PI()*K$1*$A236)/6)</f>
        <v>0.058566</v>
      </c>
      <c r="L236" s="1" t="n">
        <f aca="false">L$2*SIN((PI()*L$1*$A236)/6)</f>
        <v>5.76555356795574E-016</v>
      </c>
      <c r="M236" s="1" t="n">
        <f aca="false">M$2*COS((PI()*M$1*$A236)/6)</f>
        <v>0.00265</v>
      </c>
      <c r="N236" s="1" t="n">
        <f aca="false">N$2*SIN((PI()*N$1*$A236)/6)</f>
        <v>6.47024733462822E-016</v>
      </c>
      <c r="O236" s="2" t="n">
        <f aca="false">O$2*(-1)^(A236)</f>
        <v>0.114941</v>
      </c>
      <c r="P236" s="2" t="n">
        <f aca="false">100*LN(C236)</f>
        <v>460.563008022053</v>
      </c>
      <c r="Q236" s="2" t="n">
        <f aca="false">SUM(E236:O236)</f>
        <v>0.540314000000009</v>
      </c>
      <c r="R236" s="2" t="n">
        <f aca="false">P236-Q236</f>
        <v>460.022694022053</v>
      </c>
      <c r="S236" s="1" t="n">
        <f aca="false">EXP(R236/100)</f>
        <v>99.5068951964721</v>
      </c>
      <c r="T236" s="2"/>
      <c r="U236" s="2"/>
      <c r="V236" s="4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L236" s="2"/>
      <c r="AM236" s="5"/>
      <c r="AN236" s="2"/>
      <c r="AO236" s="2"/>
      <c r="AP236" s="2"/>
      <c r="AR236" s="2"/>
      <c r="AS236" s="2"/>
      <c r="AT236" s="2"/>
      <c r="AU236" s="2"/>
      <c r="AW236" s="2"/>
      <c r="AX236" s="2"/>
      <c r="AY236" s="2"/>
      <c r="AZ236" s="2"/>
      <c r="BB236" s="2"/>
      <c r="BC236" s="2"/>
      <c r="BD236" s="2"/>
      <c r="BE236" s="2"/>
    </row>
    <row r="237" customFormat="false" ht="12.8" hidden="false" customHeight="false" outlineLevel="0" collapsed="false">
      <c r="A237" s="2" t="n">
        <v>235</v>
      </c>
      <c r="B237" s="2" t="s">
        <v>241</v>
      </c>
      <c r="C237" s="2" t="n">
        <v>99.292</v>
      </c>
      <c r="D237" s="2" t="n">
        <f aca="false">100*LN(C237)</f>
        <v>459.806500385804</v>
      </c>
      <c r="E237" s="2" t="n">
        <f aca="false">E$2*COS((PI()*E$1*$A237)/6)</f>
        <v>0.139421429755257</v>
      </c>
      <c r="F237" s="2" t="n">
        <f aca="false">F$2*SIN((PI()*F$1*$A237)/6)</f>
        <v>0.0831379999999992</v>
      </c>
      <c r="G237" s="1" t="n">
        <f aca="false">G$2*COS((PI()*G$1*$A237)/6)</f>
        <v>0.144634500000003</v>
      </c>
      <c r="H237" s="1" t="n">
        <f aca="false">H$2*SIN((PI()*H$1*$A237)/6)</f>
        <v>-0.499983312392271</v>
      </c>
      <c r="I237" s="1" t="n">
        <f aca="false">I$2*COS((PI()*I$1*$A237)/6)</f>
        <v>-1.39192120631322E-015</v>
      </c>
      <c r="J237" s="1" t="n">
        <f aca="false">J$2*SIN((PI()*J$1*$A237)/6)</f>
        <v>0.033221</v>
      </c>
      <c r="K237" s="1" t="n">
        <f aca="false">K$2*COS((PI()*K$1*$A237)/6)</f>
        <v>-0.0292829999999989</v>
      </c>
      <c r="L237" s="1" t="n">
        <f aca="false">L$2*SIN((PI()*L$1*$A237)/6)</f>
        <v>-0.0149874356378937</v>
      </c>
      <c r="M237" s="1" t="n">
        <f aca="false">M$2*COS((PI()*M$1*$A237)/6)</f>
        <v>-0.00229496732002865</v>
      </c>
      <c r="N237" s="1" t="n">
        <f aca="false">N$2*SIN((PI()*N$1*$A237)/6)</f>
        <v>-0.00579200000000084</v>
      </c>
      <c r="O237" s="2" t="n">
        <f aca="false">O$2*(-1)^(A237)</f>
        <v>-0.114941</v>
      </c>
      <c r="P237" s="2" t="n">
        <f aca="false">100*LN(C237)</f>
        <v>459.806500385804</v>
      </c>
      <c r="Q237" s="2" t="n">
        <f aca="false">SUM(E237:O237)</f>
        <v>-0.266866785594935</v>
      </c>
      <c r="R237" s="2" t="n">
        <f aca="false">P237-Q237</f>
        <v>460.073367171399</v>
      </c>
      <c r="S237" s="1" t="n">
        <f aca="false">EXP(R237/100)</f>
        <v>99.5573312517749</v>
      </c>
      <c r="T237" s="2"/>
      <c r="U237" s="2"/>
      <c r="V237" s="4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L237" s="2"/>
      <c r="AM237" s="5"/>
      <c r="AN237" s="2"/>
      <c r="AO237" s="2"/>
      <c r="AP237" s="2"/>
      <c r="AR237" s="2"/>
      <c r="AS237" s="2"/>
      <c r="AT237" s="2"/>
      <c r="AU237" s="2"/>
      <c r="AW237" s="2"/>
      <c r="AX237" s="2"/>
      <c r="AY237" s="2"/>
      <c r="AZ237" s="2"/>
      <c r="BB237" s="2"/>
      <c r="BC237" s="2"/>
      <c r="BD237" s="2"/>
      <c r="BE237" s="2"/>
    </row>
    <row r="238" customFormat="false" ht="12.8" hidden="false" customHeight="false" outlineLevel="0" collapsed="false">
      <c r="A238" s="2" t="n">
        <v>236</v>
      </c>
      <c r="B238" s="2" t="s">
        <v>242</v>
      </c>
      <c r="C238" s="2" t="n">
        <v>99.743</v>
      </c>
      <c r="D238" s="2" t="n">
        <f aca="false">100*LN(C238)</f>
        <v>460.259687786897</v>
      </c>
      <c r="E238" s="2" t="n">
        <f aca="false">E$2*COS((PI()*E$1*$A238)/6)</f>
        <v>0.0804950000000003</v>
      </c>
      <c r="F238" s="2" t="n">
        <f aca="false">F$2*SIN((PI()*F$1*$A238)/6)</f>
        <v>0.143999240039661</v>
      </c>
      <c r="G238" s="1" t="n">
        <f aca="false">G$2*COS((PI()*G$1*$A238)/6)</f>
        <v>-0.144634499999999</v>
      </c>
      <c r="H238" s="1" t="n">
        <f aca="false">H$2*SIN((PI()*H$1*$A238)/6)</f>
        <v>-0.499983312392275</v>
      </c>
      <c r="I238" s="1" t="n">
        <f aca="false">I$2*COS((PI()*I$1*$A238)/6)</f>
        <v>0.086102</v>
      </c>
      <c r="J238" s="1" t="n">
        <f aca="false">J$2*SIN((PI()*J$1*$A238)/6)</f>
        <v>-1.17227471821724E-015</v>
      </c>
      <c r="K238" s="1" t="n">
        <f aca="false">K$2*COS((PI()*K$1*$A238)/6)</f>
        <v>-0.0292830000000005</v>
      </c>
      <c r="L238" s="1" t="n">
        <f aca="false">L$2*SIN((PI()*L$1*$A238)/6)</f>
        <v>0.0149874356378934</v>
      </c>
      <c r="M238" s="1" t="n">
        <f aca="false">M$2*COS((PI()*M$1*$A238)/6)</f>
        <v>0.001325</v>
      </c>
      <c r="N238" s="1" t="n">
        <f aca="false">N$2*SIN((PI()*N$1*$A238)/6)</f>
        <v>0.0100320382774389</v>
      </c>
      <c r="O238" s="2" t="n">
        <f aca="false">O$2*(-1)^(A238)</f>
        <v>0.114941</v>
      </c>
      <c r="P238" s="2" t="n">
        <f aca="false">100*LN(C238)</f>
        <v>460.259687786897</v>
      </c>
      <c r="Q238" s="2" t="n">
        <f aca="false">SUM(E238:O238)</f>
        <v>-0.222019098437282</v>
      </c>
      <c r="R238" s="2" t="n">
        <f aca="false">P238-Q238</f>
        <v>460.481706885334</v>
      </c>
      <c r="S238" s="1" t="n">
        <f aca="false">EXP(R238/100)</f>
        <v>99.9646945203764</v>
      </c>
      <c r="T238" s="2"/>
      <c r="U238" s="2"/>
      <c r="V238" s="4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L238" s="2"/>
      <c r="AM238" s="5"/>
      <c r="AN238" s="2"/>
      <c r="AO238" s="2"/>
      <c r="AP238" s="2"/>
      <c r="AR238" s="2"/>
      <c r="AS238" s="2"/>
      <c r="AT238" s="2"/>
      <c r="AU238" s="2"/>
      <c r="AW238" s="2"/>
      <c r="AX238" s="2"/>
      <c r="AY238" s="2"/>
      <c r="AZ238" s="2"/>
      <c r="BB238" s="2"/>
      <c r="BC238" s="2"/>
      <c r="BD238" s="2"/>
      <c r="BE238" s="2"/>
    </row>
    <row r="239" customFormat="false" ht="12.8" hidden="false" customHeight="false" outlineLevel="0" collapsed="false">
      <c r="A239" s="2" t="n">
        <v>237</v>
      </c>
      <c r="B239" s="2" t="s">
        <v>243</v>
      </c>
      <c r="C239" s="2" t="n">
        <v>100.575</v>
      </c>
      <c r="D239" s="2" t="n">
        <f aca="false">100*LN(C239)</f>
        <v>461.090371783585</v>
      </c>
      <c r="E239" s="2" t="n">
        <f aca="false">E$2*COS((PI()*E$1*$A239)/6)</f>
        <v>2.20864419624442E-015</v>
      </c>
      <c r="F239" s="2" t="n">
        <f aca="false">F$2*SIN((PI()*F$1*$A239)/6)</f>
        <v>0.166276</v>
      </c>
      <c r="G239" s="1" t="n">
        <f aca="false">G$2*COS((PI()*G$1*$A239)/6)</f>
        <v>-0.289269</v>
      </c>
      <c r="H239" s="1" t="n">
        <f aca="false">H$2*SIN((PI()*H$1*$A239)/6)</f>
        <v>-1.58409685379463E-014</v>
      </c>
      <c r="I239" s="1" t="n">
        <f aca="false">I$2*COS((PI()*I$1*$A239)/6)</f>
        <v>2.32015291969948E-015</v>
      </c>
      <c r="J239" s="1" t="n">
        <f aca="false">J$2*SIN((PI()*J$1*$A239)/6)</f>
        <v>-0.033221</v>
      </c>
      <c r="K239" s="1" t="n">
        <f aca="false">K$2*COS((PI()*K$1*$A239)/6)</f>
        <v>0.058566</v>
      </c>
      <c r="L239" s="1" t="n">
        <f aca="false">L$2*SIN((PI()*L$1*$A239)/6)</f>
        <v>9.49693681848711E-016</v>
      </c>
      <c r="M239" s="1" t="n">
        <f aca="false">M$2*COS((PI()*M$1*$A239)/6)</f>
        <v>6.88022974747853E-017</v>
      </c>
      <c r="N239" s="1" t="n">
        <f aca="false">N$2*SIN((PI()*N$1*$A239)/6)</f>
        <v>-0.011584</v>
      </c>
      <c r="O239" s="2" t="n">
        <f aca="false">O$2*(-1)^(A239)</f>
        <v>-0.114941</v>
      </c>
      <c r="P239" s="2" t="n">
        <f aca="false">100*LN(C239)</f>
        <v>461.090371783585</v>
      </c>
      <c r="Q239" s="2" t="n">
        <f aca="false">SUM(E239:O239)</f>
        <v>-0.22417300000001</v>
      </c>
      <c r="R239" s="2" t="n">
        <f aca="false">P239-Q239</f>
        <v>461.314544783585</v>
      </c>
      <c r="S239" s="1" t="n">
        <f aca="false">EXP(R239/100)</f>
        <v>100.800714896152</v>
      </c>
      <c r="T239" s="2"/>
      <c r="U239" s="2"/>
      <c r="V239" s="4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L239" s="2"/>
      <c r="AM239" s="5"/>
      <c r="AN239" s="2"/>
      <c r="AO239" s="2"/>
      <c r="AP239" s="2"/>
      <c r="AR239" s="2"/>
      <c r="AS239" s="2"/>
      <c r="AT239" s="2"/>
      <c r="AU239" s="2"/>
      <c r="AW239" s="2"/>
      <c r="AX239" s="2"/>
      <c r="AY239" s="2"/>
      <c r="AZ239" s="2"/>
      <c r="BB239" s="2"/>
      <c r="BC239" s="2"/>
      <c r="BD239" s="2"/>
      <c r="BE239" s="2"/>
    </row>
    <row r="240" customFormat="false" ht="12.8" hidden="false" customHeight="false" outlineLevel="0" collapsed="false">
      <c r="A240" s="2" t="n">
        <v>238</v>
      </c>
      <c r="B240" s="2" t="s">
        <v>244</v>
      </c>
      <c r="C240" s="2" t="n">
        <v>102.425</v>
      </c>
      <c r="D240" s="2" t="n">
        <f aca="false">100*LN(C240)</f>
        <v>462.913082343294</v>
      </c>
      <c r="E240" s="2" t="n">
        <f aca="false">E$2*COS((PI()*E$1*$A240)/6)</f>
        <v>-0.0804949999999985</v>
      </c>
      <c r="F240" s="2" t="n">
        <f aca="false">F$2*SIN((PI()*F$1*$A240)/6)</f>
        <v>0.143999240039662</v>
      </c>
      <c r="G240" s="1" t="n">
        <f aca="false">G$2*COS((PI()*G$1*$A240)/6)</f>
        <v>-0.144634500000005</v>
      </c>
      <c r="H240" s="1" t="n">
        <f aca="false">H$2*SIN((PI()*H$1*$A240)/6)</f>
        <v>0.499983312392268</v>
      </c>
      <c r="I240" s="1" t="n">
        <f aca="false">I$2*COS((PI()*I$1*$A240)/6)</f>
        <v>-0.086102</v>
      </c>
      <c r="J240" s="1" t="n">
        <f aca="false">J$2*SIN((PI()*J$1*$A240)/6)</f>
        <v>-1.0742630022594E-015</v>
      </c>
      <c r="K240" s="1" t="n">
        <f aca="false">K$2*COS((PI()*K$1*$A240)/6)</f>
        <v>-0.0292829999999978</v>
      </c>
      <c r="L240" s="1" t="n">
        <f aca="false">L$2*SIN((PI()*L$1*$A240)/6)</f>
        <v>-0.0149874356378939</v>
      </c>
      <c r="M240" s="1" t="n">
        <f aca="false">M$2*COS((PI()*M$1*$A240)/6)</f>
        <v>-0.00132500000000012</v>
      </c>
      <c r="N240" s="1" t="n">
        <f aca="false">N$2*SIN((PI()*N$1*$A240)/6)</f>
        <v>0.0100320382774386</v>
      </c>
      <c r="O240" s="2" t="n">
        <f aca="false">O$2*(-1)^(A240)</f>
        <v>0.114941</v>
      </c>
      <c r="P240" s="2" t="n">
        <f aca="false">100*LN(C240)</f>
        <v>462.913082343294</v>
      </c>
      <c r="Q240" s="2" t="n">
        <f aca="false">SUM(E240:O240)</f>
        <v>0.412128655071472</v>
      </c>
      <c r="R240" s="2" t="n">
        <f aca="false">P240-Q240</f>
        <v>462.500953688222</v>
      </c>
      <c r="S240" s="1" t="n">
        <f aca="false">EXP(R240/100)</f>
        <v>102.003745875771</v>
      </c>
      <c r="T240" s="2"/>
      <c r="U240" s="2"/>
      <c r="V240" s="4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L240" s="2"/>
      <c r="AM240" s="5"/>
      <c r="AN240" s="2"/>
      <c r="AO240" s="2"/>
      <c r="AP240" s="2"/>
      <c r="AR240" s="2"/>
      <c r="AS240" s="2"/>
      <c r="AT240" s="2"/>
      <c r="AU240" s="2"/>
      <c r="AW240" s="2"/>
      <c r="AX240" s="2"/>
      <c r="AY240" s="2"/>
      <c r="AZ240" s="2"/>
      <c r="BB240" s="2"/>
      <c r="BC240" s="2"/>
      <c r="BD240" s="2"/>
      <c r="BE240" s="2"/>
    </row>
    <row r="241" customFormat="false" ht="12.8" hidden="false" customHeight="false" outlineLevel="0" collapsed="false">
      <c r="A241" s="2" t="n">
        <v>239</v>
      </c>
      <c r="B241" s="2" t="s">
        <v>245</v>
      </c>
      <c r="C241" s="2" t="n">
        <v>102.738</v>
      </c>
      <c r="D241" s="2" t="n">
        <f aca="false">100*LN(C241)</f>
        <v>463.218205823489</v>
      </c>
      <c r="E241" s="2" t="n">
        <f aca="false">E$2*COS((PI()*E$1*$A241)/6)</f>
        <v>-0.139421429755256</v>
      </c>
      <c r="F241" s="2" t="n">
        <f aca="false">F$2*SIN((PI()*F$1*$A241)/6)</f>
        <v>0.0831380000000011</v>
      </c>
      <c r="G241" s="1" t="n">
        <f aca="false">G$2*COS((PI()*G$1*$A241)/6)</f>
        <v>0.144634499999996</v>
      </c>
      <c r="H241" s="1" t="n">
        <f aca="false">H$2*SIN((PI()*H$1*$A241)/6)</f>
        <v>0.499983312392278</v>
      </c>
      <c r="I241" s="1" t="n">
        <f aca="false">I$2*COS((PI()*I$1*$A241)/6)</f>
        <v>-3.24838463308574E-015</v>
      </c>
      <c r="J241" s="1" t="n">
        <f aca="false">J$2*SIN((PI()*J$1*$A241)/6)</f>
        <v>0.033221</v>
      </c>
      <c r="K241" s="1" t="n">
        <f aca="false">K$2*COS((PI()*K$1*$A241)/6)</f>
        <v>-0.0292830000000016</v>
      </c>
      <c r="L241" s="1" t="n">
        <f aca="false">L$2*SIN((PI()*L$1*$A241)/6)</f>
        <v>0.0149874356378932</v>
      </c>
      <c r="M241" s="1" t="n">
        <f aca="false">M$2*COS((PI()*M$1*$A241)/6)</f>
        <v>0.00229496732002872</v>
      </c>
      <c r="N241" s="1" t="n">
        <f aca="false">N$2*SIN((PI()*N$1*$A241)/6)</f>
        <v>-0.00579200000000032</v>
      </c>
      <c r="O241" s="2" t="n">
        <f aca="false">O$2*(-1)^(A241)</f>
        <v>-0.114941</v>
      </c>
      <c r="P241" s="2" t="n">
        <f aca="false">100*LN(C241)</f>
        <v>463.218205823489</v>
      </c>
      <c r="Q241" s="2" t="n">
        <f aca="false">SUM(E241:O241)</f>
        <v>0.488821785594936</v>
      </c>
      <c r="R241" s="2" t="n">
        <f aca="false">P241-Q241</f>
        <v>462.729384037894</v>
      </c>
      <c r="S241" s="1" t="n">
        <f aca="false">EXP(R241/100)</f>
        <v>102.237019721849</v>
      </c>
      <c r="T241" s="2"/>
      <c r="U241" s="2"/>
      <c r="V241" s="4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L241" s="2"/>
      <c r="AM241" s="5"/>
      <c r="AN241" s="2"/>
      <c r="AO241" s="2"/>
      <c r="AP241" s="2"/>
      <c r="AR241" s="2"/>
      <c r="AS241" s="2"/>
      <c r="AT241" s="2"/>
      <c r="AU241" s="2"/>
      <c r="AW241" s="2"/>
      <c r="AX241" s="2"/>
      <c r="AY241" s="2"/>
      <c r="AZ241" s="2"/>
      <c r="BB241" s="2"/>
      <c r="BC241" s="2"/>
      <c r="BD241" s="2"/>
      <c r="BE241" s="2"/>
    </row>
    <row r="242" customFormat="false" ht="12.8" hidden="false" customHeight="false" outlineLevel="0" collapsed="false">
      <c r="A242" s="2" t="n">
        <v>240</v>
      </c>
      <c r="B242" s="2" t="s">
        <v>246</v>
      </c>
      <c r="C242" s="2" t="n">
        <v>103.965</v>
      </c>
      <c r="D242" s="2" t="n">
        <f aca="false">100*LN(C242)</f>
        <v>464.405430403806</v>
      </c>
      <c r="E242" s="2" t="n">
        <f aca="false">E$2*COS((PI()*E$1*$A242)/6)</f>
        <v>-0.16099</v>
      </c>
      <c r="F242" s="2" t="n">
        <f aca="false">F$2*SIN((PI()*F$1*$A242)/6)</f>
        <v>3.17744156332503E-015</v>
      </c>
      <c r="G242" s="1" t="n">
        <f aca="false">G$2*COS((PI()*G$1*$A242)/6)</f>
        <v>0.289269</v>
      </c>
      <c r="H242" s="1" t="n">
        <f aca="false">H$2*SIN((PI()*H$1*$A242)/6)</f>
        <v>2.20649464167529E-014</v>
      </c>
      <c r="I242" s="1" t="n">
        <f aca="false">I$2*COS((PI()*I$1*$A242)/6)</f>
        <v>0.086102</v>
      </c>
      <c r="J242" s="1" t="n">
        <f aca="false">J$2*SIN((PI()*J$1*$A242)/6)</f>
        <v>-4.55989713213761E-016</v>
      </c>
      <c r="K242" s="1" t="n">
        <f aca="false">K$2*COS((PI()*K$1*$A242)/6)</f>
        <v>0.058566</v>
      </c>
      <c r="L242" s="1" t="n">
        <f aca="false">L$2*SIN((PI()*L$1*$A242)/6)</f>
        <v>1.32283200690185E-015</v>
      </c>
      <c r="M242" s="1" t="n">
        <f aca="false">M$2*COS((PI()*M$1*$A242)/6)</f>
        <v>-0.00265</v>
      </c>
      <c r="N242" s="1" t="n">
        <f aca="false">N$2*SIN((PI()*N$1*$A242)/6)</f>
        <v>4.55109116153412E-017</v>
      </c>
      <c r="O242" s="2" t="n">
        <f aca="false">O$2*(-1)^(A242)</f>
        <v>0.114941</v>
      </c>
      <c r="P242" s="2" t="n">
        <f aca="false">100*LN(C242)</f>
        <v>464.405430403806</v>
      </c>
      <c r="Q242" s="2" t="n">
        <f aca="false">SUM(E242:O242)</f>
        <v>0.385238000000026</v>
      </c>
      <c r="R242" s="2" t="n">
        <f aca="false">P242-Q242</f>
        <v>464.020192403806</v>
      </c>
      <c r="S242" s="1" t="n">
        <f aca="false">EXP(R242/100)</f>
        <v>103.565257787128</v>
      </c>
      <c r="T242" s="2"/>
      <c r="U242" s="2"/>
      <c r="V242" s="4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L242" s="2"/>
      <c r="AM242" s="5"/>
      <c r="AN242" s="2"/>
      <c r="AO242" s="2"/>
      <c r="AP242" s="2"/>
      <c r="AR242" s="2"/>
      <c r="AS242" s="2"/>
      <c r="AT242" s="2"/>
      <c r="AU242" s="2"/>
      <c r="AW242" s="2"/>
      <c r="AX242" s="2"/>
      <c r="AY242" s="2"/>
      <c r="AZ242" s="2"/>
      <c r="BB242" s="2"/>
      <c r="BC242" s="2"/>
      <c r="BD242" s="2"/>
      <c r="BE242" s="2"/>
    </row>
    <row r="243" customFormat="false" ht="12.8" hidden="false" customHeight="false" outlineLevel="0" collapsed="false">
      <c r="A243" s="2" t="n">
        <v>241</v>
      </c>
      <c r="B243" s="2" t="s">
        <v>247</v>
      </c>
      <c r="C243" s="2" t="n">
        <v>103.567</v>
      </c>
      <c r="D243" s="2" t="n">
        <f aca="false">100*LN(C243)</f>
        <v>464.02187462645</v>
      </c>
      <c r="E243" s="2" t="n">
        <f aca="false">E$2*COS((PI()*E$1*$A243)/6)</f>
        <v>-0.139421429755257</v>
      </c>
      <c r="F243" s="2" t="n">
        <f aca="false">F$2*SIN((PI()*F$1*$A243)/6)</f>
        <v>-0.0831379999999997</v>
      </c>
      <c r="G243" s="1" t="n">
        <f aca="false">G$2*COS((PI()*G$1*$A243)/6)</f>
        <v>0.144634500000001</v>
      </c>
      <c r="H243" s="1" t="n">
        <f aca="false">H$2*SIN((PI()*H$1*$A243)/6)</f>
        <v>-0.499983312392273</v>
      </c>
      <c r="I243" s="1" t="n">
        <f aca="false">I$2*COS((PI()*I$1*$A243)/6)</f>
        <v>-7.17715704281291E-016</v>
      </c>
      <c r="J243" s="1" t="n">
        <f aca="false">J$2*SIN((PI()*J$1*$A243)/6)</f>
        <v>-0.033221</v>
      </c>
      <c r="K243" s="1" t="n">
        <f aca="false">K$2*COS((PI()*K$1*$A243)/6)</f>
        <v>-0.0292829999999996</v>
      </c>
      <c r="L243" s="1" t="n">
        <f aca="false">L$2*SIN((PI()*L$1*$A243)/6)</f>
        <v>-0.0149874356378936</v>
      </c>
      <c r="M243" s="1" t="n">
        <f aca="false">M$2*COS((PI()*M$1*$A243)/6)</f>
        <v>0.00229496732002873</v>
      </c>
      <c r="N243" s="1" t="n">
        <f aca="false">N$2*SIN((PI()*N$1*$A243)/6)</f>
        <v>0.00579200000000024</v>
      </c>
      <c r="O243" s="2" t="n">
        <f aca="false">O$2*(-1)^(A243)</f>
        <v>-0.114941</v>
      </c>
      <c r="P243" s="2" t="n">
        <f aca="false">100*LN(C243)</f>
        <v>464.02187462645</v>
      </c>
      <c r="Q243" s="2" t="n">
        <f aca="false">SUM(E243:O243)</f>
        <v>-0.762253710465393</v>
      </c>
      <c r="R243" s="2" t="n">
        <f aca="false">P243-Q243</f>
        <v>464.784128336915</v>
      </c>
      <c r="S243" s="1" t="n">
        <f aca="false">EXP(R243/100)</f>
        <v>104.359459740179</v>
      </c>
      <c r="T243" s="2"/>
      <c r="U243" s="2"/>
      <c r="V243" s="4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L243" s="2"/>
      <c r="AM243" s="5"/>
      <c r="AN243" s="2"/>
      <c r="AO243" s="2"/>
      <c r="AP243" s="2"/>
      <c r="AR243" s="2"/>
      <c r="AS243" s="2"/>
      <c r="AT243" s="2"/>
      <c r="AU243" s="2"/>
      <c r="AW243" s="2"/>
      <c r="AX243" s="2"/>
      <c r="AY243" s="2"/>
      <c r="AZ243" s="2"/>
      <c r="BB243" s="2"/>
      <c r="BC243" s="2"/>
      <c r="BD243" s="2"/>
      <c r="BE243" s="2"/>
    </row>
    <row r="244" customFormat="false" ht="12.8" hidden="false" customHeight="false" outlineLevel="0" collapsed="false">
      <c r="A244" s="2" t="n">
        <v>242</v>
      </c>
      <c r="B244" s="2" t="s">
        <v>248</v>
      </c>
      <c r="C244" s="2" t="n">
        <v>104.403</v>
      </c>
      <c r="D244" s="2" t="n">
        <f aca="false">100*LN(C244)</f>
        <v>464.825841066786</v>
      </c>
      <c r="E244" s="2" t="n">
        <f aca="false">E$2*COS((PI()*E$1*$A244)/6)</f>
        <v>-0.0804949999999999</v>
      </c>
      <c r="F244" s="2" t="n">
        <f aca="false">F$2*SIN((PI()*F$1*$A244)/6)</f>
        <v>-0.143999240039661</v>
      </c>
      <c r="G244" s="1" t="n">
        <f aca="false">G$2*COS((PI()*G$1*$A244)/6)</f>
        <v>-0.1446345</v>
      </c>
      <c r="H244" s="1" t="n">
        <f aca="false">H$2*SIN((PI()*H$1*$A244)/6)</f>
        <v>-0.499983312392273</v>
      </c>
      <c r="I244" s="1" t="n">
        <f aca="false">I$2*COS((PI()*I$1*$A244)/6)</f>
        <v>-0.086102</v>
      </c>
      <c r="J244" s="1" t="n">
        <f aca="false">J$2*SIN((PI()*J$1*$A244)/6)</f>
        <v>9.78472107120192E-017</v>
      </c>
      <c r="K244" s="1" t="n">
        <f aca="false">K$2*COS((PI()*K$1*$A244)/6)</f>
        <v>-0.0292829999999998</v>
      </c>
      <c r="L244" s="1" t="n">
        <f aca="false">L$2*SIN((PI()*L$1*$A244)/6)</f>
        <v>0.0149874356378935</v>
      </c>
      <c r="M244" s="1" t="n">
        <f aca="false">M$2*COS((PI()*M$1*$A244)/6)</f>
        <v>-0.00132499999999988</v>
      </c>
      <c r="N244" s="1" t="n">
        <f aca="false">N$2*SIN((PI()*N$1*$A244)/6)</f>
        <v>-0.0100320382774392</v>
      </c>
      <c r="O244" s="2" t="n">
        <f aca="false">O$2*(-1)^(A244)</f>
        <v>0.114941</v>
      </c>
      <c r="P244" s="2" t="n">
        <f aca="false">100*LN(C244)</f>
        <v>464.825841066786</v>
      </c>
      <c r="Q244" s="2" t="n">
        <f aca="false">SUM(E244:O244)</f>
        <v>-0.86592565507148</v>
      </c>
      <c r="R244" s="2" t="n">
        <f aca="false">P244-Q244</f>
        <v>465.691766721858</v>
      </c>
      <c r="S244" s="1" t="n">
        <f aca="false">EXP(R244/100)</f>
        <v>105.310977894884</v>
      </c>
      <c r="T244" s="2"/>
      <c r="U244" s="2"/>
      <c r="V244" s="4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L244" s="2"/>
      <c r="AM244" s="5"/>
      <c r="AN244" s="2"/>
      <c r="AO244" s="2"/>
      <c r="AP244" s="2"/>
      <c r="AR244" s="2"/>
      <c r="AS244" s="2"/>
      <c r="AT244" s="2"/>
      <c r="AU244" s="2"/>
      <c r="AW244" s="2"/>
      <c r="AX244" s="2"/>
      <c r="AY244" s="2"/>
      <c r="AZ244" s="2"/>
      <c r="BB244" s="2"/>
      <c r="BC244" s="2"/>
      <c r="BD244" s="2"/>
      <c r="BE244" s="2"/>
    </row>
    <row r="245" customFormat="false" ht="12.8" hidden="false" customHeight="false" outlineLevel="0" collapsed="false">
      <c r="A245" s="2" t="n">
        <v>243</v>
      </c>
      <c r="B245" s="2" t="s">
        <v>249</v>
      </c>
      <c r="C245" s="2" t="n">
        <v>107.5795</v>
      </c>
      <c r="D245" s="2" t="n">
        <f aca="false">100*LN(C245)</f>
        <v>467.823010913026</v>
      </c>
      <c r="E245" s="2" t="n">
        <f aca="false">E$2*COS((PI()*E$1*$A245)/6)</f>
        <v>6.31397090686565E-016</v>
      </c>
      <c r="F245" s="2" t="n">
        <f aca="false">F$2*SIN((PI()*F$1*$A245)/6)</f>
        <v>-0.166276</v>
      </c>
      <c r="G245" s="1" t="n">
        <f aca="false">G$2*COS((PI()*G$1*$A245)/6)</f>
        <v>-0.289269</v>
      </c>
      <c r="H245" s="1" t="n">
        <f aca="false">H$2*SIN((PI()*H$1*$A245)/6)</f>
        <v>4.52854355876968E-015</v>
      </c>
      <c r="I245" s="1" t="n">
        <f aca="false">I$2*COS((PI()*I$1*$A245)/6)</f>
        <v>-5.10484805985826E-015</v>
      </c>
      <c r="J245" s="1" t="n">
        <f aca="false">J$2*SIN((PI()*J$1*$A245)/6)</f>
        <v>0.033221</v>
      </c>
      <c r="K245" s="1" t="n">
        <f aca="false">K$2*COS((PI()*K$1*$A245)/6)</f>
        <v>0.058566</v>
      </c>
      <c r="L245" s="1" t="n">
        <f aca="false">L$2*SIN((PI()*L$1*$A245)/6)</f>
        <v>-2.714940816553E-016</v>
      </c>
      <c r="M245" s="1" t="n">
        <f aca="false">M$2*COS((PI()*M$1*$A245)/6)</f>
        <v>-2.11645323215975E-016</v>
      </c>
      <c r="N245" s="1" t="n">
        <f aca="false">N$2*SIN((PI()*N$1*$A245)/6)</f>
        <v>0.011584</v>
      </c>
      <c r="O245" s="2" t="n">
        <f aca="false">O$2*(-1)^(A245)</f>
        <v>-0.114941</v>
      </c>
      <c r="P245" s="2" t="n">
        <f aca="false">100*LN(C245)</f>
        <v>467.823010913026</v>
      </c>
      <c r="Q245" s="2" t="n">
        <f aca="false">SUM(E245:O245)</f>
        <v>-0.467115</v>
      </c>
      <c r="R245" s="2" t="n">
        <f aca="false">P245-Q245</f>
        <v>468.290125913026</v>
      </c>
      <c r="S245" s="1" t="n">
        <f aca="false">EXP(R245/100)</f>
        <v>108.083195484134</v>
      </c>
      <c r="T245" s="2"/>
      <c r="U245" s="2"/>
      <c r="V245" s="4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L245" s="2"/>
      <c r="AM245" s="5"/>
      <c r="AN245" s="2"/>
      <c r="AO245" s="2"/>
      <c r="AP245" s="2"/>
      <c r="AR245" s="2"/>
      <c r="AS245" s="2"/>
      <c r="AT245" s="2"/>
      <c r="AU245" s="2"/>
      <c r="AW245" s="2"/>
      <c r="AX245" s="2"/>
      <c r="AY245" s="2"/>
      <c r="AZ245" s="2"/>
      <c r="BB245" s="2"/>
      <c r="BC245" s="2"/>
      <c r="BD245" s="2"/>
      <c r="BE245" s="2"/>
    </row>
    <row r="246" customFormat="false" ht="12.8" hidden="false" customHeight="false" outlineLevel="0" collapsed="false">
      <c r="A246" s="2" t="n">
        <v>244</v>
      </c>
      <c r="B246" s="2" t="s">
        <v>250</v>
      </c>
      <c r="C246" s="2" t="n">
        <v>107.375</v>
      </c>
      <c r="D246" s="2" t="n">
        <f aca="false">100*LN(C246)</f>
        <v>467.632738030442</v>
      </c>
      <c r="E246" s="2" t="n">
        <f aca="false">E$2*COS((PI()*E$1*$A246)/6)</f>
        <v>0.080494999999999</v>
      </c>
      <c r="F246" s="2" t="n">
        <f aca="false">F$2*SIN((PI()*F$1*$A246)/6)</f>
        <v>-0.143999240039662</v>
      </c>
      <c r="G246" s="1" t="n">
        <f aca="false">G$2*COS((PI()*G$1*$A246)/6)</f>
        <v>-0.144634500000004</v>
      </c>
      <c r="H246" s="1" t="n">
        <f aca="false">H$2*SIN((PI()*H$1*$A246)/6)</f>
        <v>0.49998331239227</v>
      </c>
      <c r="I246" s="1" t="n">
        <f aca="false">I$2*COS((PI()*I$1*$A246)/6)</f>
        <v>0.086102</v>
      </c>
      <c r="J246" s="1" t="n">
        <f aca="false">J$2*SIN((PI()*J$1*$A246)/6)</f>
        <v>2.60295291789723E-016</v>
      </c>
      <c r="K246" s="1" t="n">
        <f aca="false">K$2*COS((PI()*K$1*$A246)/6)</f>
        <v>-0.0292829999999985</v>
      </c>
      <c r="L246" s="1" t="n">
        <f aca="false">L$2*SIN((PI()*L$1*$A246)/6)</f>
        <v>-0.0149874356378937</v>
      </c>
      <c r="M246" s="1" t="n">
        <f aca="false">M$2*COS((PI()*M$1*$A246)/6)</f>
        <v>0.00132499999999999</v>
      </c>
      <c r="N246" s="1" t="n">
        <f aca="false">N$2*SIN((PI()*N$1*$A246)/6)</f>
        <v>-0.010032038277439</v>
      </c>
      <c r="O246" s="2" t="n">
        <f aca="false">O$2*(-1)^(A246)</f>
        <v>0.114941</v>
      </c>
      <c r="P246" s="2" t="n">
        <f aca="false">100*LN(C246)</f>
        <v>467.632738030442</v>
      </c>
      <c r="Q246" s="2" t="n">
        <f aca="false">SUM(E246:O246)</f>
        <v>0.439910098437272</v>
      </c>
      <c r="R246" s="2" t="n">
        <f aca="false">P246-Q246</f>
        <v>467.192827932005</v>
      </c>
      <c r="S246" s="1" t="n">
        <f aca="false">EXP(R246/100)</f>
        <v>106.903683975276</v>
      </c>
      <c r="T246" s="2"/>
      <c r="U246" s="2"/>
      <c r="V246" s="4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L246" s="2"/>
      <c r="AM246" s="5"/>
      <c r="AN246" s="2"/>
      <c r="AO246" s="2"/>
      <c r="AP246" s="2"/>
      <c r="AR246" s="2"/>
      <c r="AS246" s="2"/>
      <c r="AT246" s="2"/>
      <c r="AU246" s="2"/>
      <c r="AW246" s="2"/>
      <c r="AX246" s="2"/>
      <c r="AY246" s="2"/>
      <c r="AZ246" s="2"/>
      <c r="BB246" s="2"/>
      <c r="BC246" s="2"/>
      <c r="BD246" s="2"/>
      <c r="BE246" s="2"/>
    </row>
    <row r="247" customFormat="false" ht="12.8" hidden="false" customHeight="false" outlineLevel="0" collapsed="false">
      <c r="A247" s="2" t="n">
        <v>245</v>
      </c>
      <c r="B247" s="2" t="s">
        <v>251</v>
      </c>
      <c r="C247" s="2" t="n">
        <v>108.262</v>
      </c>
      <c r="D247" s="2" t="n">
        <f aca="false">100*LN(C247)</f>
        <v>468.455421524216</v>
      </c>
      <c r="E247" s="2" t="n">
        <f aca="false">E$2*COS((PI()*E$1*$A247)/6)</f>
        <v>0.139421429755256</v>
      </c>
      <c r="F247" s="2" t="n">
        <f aca="false">F$2*SIN((PI()*F$1*$A247)/6)</f>
        <v>-0.0831380000000006</v>
      </c>
      <c r="G247" s="1" t="n">
        <f aca="false">G$2*COS((PI()*G$1*$A247)/6)</f>
        <v>0.144634499999998</v>
      </c>
      <c r="H247" s="1" t="n">
        <f aca="false">H$2*SIN((PI()*H$1*$A247)/6)</f>
        <v>0.499983312392276</v>
      </c>
      <c r="I247" s="1" t="n">
        <f aca="false">I$2*COS((PI()*I$1*$A247)/6)</f>
        <v>1.13874772249123E-015</v>
      </c>
      <c r="J247" s="1" t="n">
        <f aca="false">J$2*SIN((PI()*J$1*$A247)/6)</f>
        <v>-0.033221</v>
      </c>
      <c r="K247" s="1" t="n">
        <f aca="false">K$2*COS((PI()*K$1*$A247)/6)</f>
        <v>-0.0292830000000009</v>
      </c>
      <c r="L247" s="1" t="n">
        <f aca="false">L$2*SIN((PI()*L$1*$A247)/6)</f>
        <v>0.0149874356378933</v>
      </c>
      <c r="M247" s="1" t="n">
        <f aca="false">M$2*COS((PI()*M$1*$A247)/6)</f>
        <v>-0.00229496732002879</v>
      </c>
      <c r="N247" s="1" t="n">
        <f aca="false">N$2*SIN((PI()*N$1*$A247)/6)</f>
        <v>0.00579199999999978</v>
      </c>
      <c r="O247" s="2" t="n">
        <f aca="false">O$2*(-1)^(A247)</f>
        <v>-0.114941</v>
      </c>
      <c r="P247" s="2" t="n">
        <f aca="false">100*LN(C247)</f>
        <v>468.455421524216</v>
      </c>
      <c r="Q247" s="2" t="n">
        <f aca="false">SUM(E247:O247)</f>
        <v>0.541940710465395</v>
      </c>
      <c r="R247" s="2" t="n">
        <f aca="false">P247-Q247</f>
        <v>467.91348081375</v>
      </c>
      <c r="S247" s="1" t="n">
        <f aca="false">EXP(R247/100)</f>
        <v>107.67687110598</v>
      </c>
      <c r="T247" s="2"/>
      <c r="U247" s="2"/>
      <c r="V247" s="4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L247" s="2"/>
      <c r="AM247" s="5"/>
      <c r="AN247" s="2"/>
      <c r="AO247" s="2"/>
      <c r="AP247" s="2"/>
      <c r="AR247" s="2"/>
      <c r="AS247" s="2"/>
      <c r="AT247" s="2"/>
      <c r="AU247" s="2"/>
      <c r="AW247" s="2"/>
      <c r="AX247" s="2"/>
      <c r="AY247" s="2"/>
      <c r="AZ247" s="2"/>
      <c r="BB247" s="2"/>
      <c r="BC247" s="2"/>
      <c r="BD247" s="2"/>
      <c r="BE247" s="2"/>
    </row>
    <row r="248" customFormat="false" ht="12.8" hidden="false" customHeight="false" outlineLevel="0" collapsed="false">
      <c r="A248" s="2" t="n">
        <v>246</v>
      </c>
      <c r="B248" s="2" t="s">
        <v>252</v>
      </c>
      <c r="C248" s="2" t="n">
        <v>110.267</v>
      </c>
      <c r="D248" s="2" t="n">
        <f aca="false">100*LN(C248)</f>
        <v>470.290469745147</v>
      </c>
      <c r="E248" s="2" t="n">
        <f aca="false">E$2*COS((PI()*E$1*$A248)/6)</f>
        <v>0.16099</v>
      </c>
      <c r="F248" s="2" t="n">
        <f aca="false">F$2*SIN((PI()*F$1*$A248)/6)</f>
        <v>-2.6070734807863E-015</v>
      </c>
      <c r="G248" s="1" t="n">
        <f aca="false">G$2*COS((PI()*G$1*$A248)/6)</f>
        <v>0.289269</v>
      </c>
      <c r="H248" s="1" t="n">
        <f aca="false">H$2*SIN((PI()*H$1*$A248)/6)</f>
        <v>1.81041682472015E-014</v>
      </c>
      <c r="I248" s="1" t="n">
        <f aca="false">I$2*COS((PI()*I$1*$A248)/6)</f>
        <v>-0.086102</v>
      </c>
      <c r="J248" s="1" t="n">
        <f aca="false">J$2*SIN((PI()*J$1*$A248)/6)</f>
        <v>-6.18437794291464E-016</v>
      </c>
      <c r="K248" s="1" t="n">
        <f aca="false">K$2*COS((PI()*K$1*$A248)/6)</f>
        <v>0.058566</v>
      </c>
      <c r="L248" s="1" t="n">
        <f aca="false">L$2*SIN((PI()*L$1*$A248)/6)</f>
        <v>1.08537645020298E-015</v>
      </c>
      <c r="M248" s="1" t="n">
        <f aca="false">M$2*COS((PI()*M$1*$A248)/6)</f>
        <v>0.00265</v>
      </c>
      <c r="N248" s="1" t="n">
        <f aca="false">N$2*SIN((PI()*N$1*$A248)/6)</f>
        <v>5.78901771473695E-016</v>
      </c>
      <c r="O248" s="2" t="n">
        <f aca="false">O$2*(-1)^(A248)</f>
        <v>0.114941</v>
      </c>
      <c r="P248" s="2" t="n">
        <f aca="false">100*LN(C248)</f>
        <v>470.290469745147</v>
      </c>
      <c r="Q248" s="2" t="n">
        <f aca="false">SUM(E248:O248)</f>
        <v>0.540314000000017</v>
      </c>
      <c r="R248" s="2" t="n">
        <f aca="false">P248-Q248</f>
        <v>469.750155745146</v>
      </c>
      <c r="S248" s="1" t="n">
        <f aca="false">EXP(R248/100)</f>
        <v>109.672818629724</v>
      </c>
      <c r="T248" s="2"/>
      <c r="U248" s="2"/>
      <c r="V248" s="4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L248" s="2"/>
      <c r="AM248" s="5"/>
      <c r="AN248" s="2"/>
      <c r="AO248" s="2"/>
      <c r="AP248" s="2"/>
      <c r="AR248" s="2"/>
      <c r="AS248" s="2"/>
      <c r="AT248" s="2"/>
      <c r="AU248" s="2"/>
      <c r="AW248" s="2"/>
      <c r="AX248" s="2"/>
      <c r="AY248" s="2"/>
      <c r="AZ248" s="2"/>
      <c r="BB248" s="2"/>
      <c r="BC248" s="2"/>
      <c r="BD248" s="2"/>
      <c r="BE248" s="2"/>
    </row>
    <row r="249" customFormat="false" ht="12.8" hidden="false" customHeight="false" outlineLevel="0" collapsed="false">
      <c r="A249" s="2" t="n">
        <v>247</v>
      </c>
      <c r="B249" s="2" t="s">
        <v>253</v>
      </c>
      <c r="C249" s="2" t="n">
        <v>109.986</v>
      </c>
      <c r="D249" s="2" t="n">
        <f aca="false">100*LN(C249)</f>
        <v>470.035308496528</v>
      </c>
      <c r="E249" s="2" t="n">
        <f aca="false">E$2*COS((PI()*E$1*$A249)/6)</f>
        <v>0.139421429755257</v>
      </c>
      <c r="F249" s="2" t="n">
        <f aca="false">F$2*SIN((PI()*F$1*$A249)/6)</f>
        <v>0.0831380000000002</v>
      </c>
      <c r="G249" s="1" t="n">
        <f aca="false">G$2*COS((PI()*G$1*$A249)/6)</f>
        <v>0.144634499999999</v>
      </c>
      <c r="H249" s="1" t="n">
        <f aca="false">H$2*SIN((PI()*H$1*$A249)/6)</f>
        <v>-0.499983312392275</v>
      </c>
      <c r="I249" s="1" t="n">
        <f aca="false">I$2*COS((PI()*I$1*$A249)/6)</f>
        <v>2.8273526148758E-015</v>
      </c>
      <c r="J249" s="1" t="n">
        <f aca="false">J$2*SIN((PI()*J$1*$A249)/6)</f>
        <v>0.033221</v>
      </c>
      <c r="K249" s="1" t="n">
        <f aca="false">K$2*COS((PI()*K$1*$A249)/6)</f>
        <v>-0.0292830000000003</v>
      </c>
      <c r="L249" s="1" t="n">
        <f aca="false">L$2*SIN((PI()*L$1*$A249)/6)</f>
        <v>-0.0149874356378934</v>
      </c>
      <c r="M249" s="1" t="n">
        <f aca="false">M$2*COS((PI()*M$1*$A249)/6)</f>
        <v>-0.00229496732002881</v>
      </c>
      <c r="N249" s="1" t="n">
        <f aca="false">N$2*SIN((PI()*N$1*$A249)/6)</f>
        <v>-0.00579199999999964</v>
      </c>
      <c r="O249" s="2" t="n">
        <f aca="false">O$2*(-1)^(A249)</f>
        <v>-0.114941</v>
      </c>
      <c r="P249" s="2" t="n">
        <f aca="false">100*LN(C249)</f>
        <v>470.035308496528</v>
      </c>
      <c r="Q249" s="2" t="n">
        <f aca="false">SUM(E249:O249)</f>
        <v>-0.266866785594938</v>
      </c>
      <c r="R249" s="2" t="n">
        <f aca="false">P249-Q249</f>
        <v>470.302175282123</v>
      </c>
      <c r="S249" s="1" t="n">
        <f aca="false">EXP(R249/100)</f>
        <v>110.279908099925</v>
      </c>
      <c r="T249" s="2"/>
      <c r="U249" s="2"/>
      <c r="V249" s="4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L249" s="2"/>
      <c r="AM249" s="5"/>
      <c r="AN249" s="2"/>
      <c r="AO249" s="2"/>
      <c r="AP249" s="2"/>
      <c r="AR249" s="2"/>
      <c r="AS249" s="2"/>
      <c r="AT249" s="2"/>
      <c r="AU249" s="2"/>
      <c r="AW249" s="2"/>
      <c r="AX249" s="2"/>
      <c r="AY249" s="2"/>
      <c r="AZ249" s="2"/>
      <c r="BB249" s="2"/>
      <c r="BC249" s="2"/>
      <c r="BD249" s="2"/>
      <c r="BE249" s="2"/>
    </row>
    <row r="250" customFormat="false" ht="12.8" hidden="false" customHeight="false" outlineLevel="0" collapsed="false">
      <c r="A250" s="2" t="n">
        <v>248</v>
      </c>
      <c r="B250" s="2" t="s">
        <v>254</v>
      </c>
      <c r="C250" s="2" t="n">
        <v>110.265</v>
      </c>
      <c r="D250" s="2" t="n">
        <f aca="false">100*LN(C250)</f>
        <v>470.288655949416</v>
      </c>
      <c r="E250" s="2" t="n">
        <f aca="false">E$2*COS((PI()*E$1*$A250)/6)</f>
        <v>0.0804950000000014</v>
      </c>
      <c r="F250" s="2" t="n">
        <f aca="false">F$2*SIN((PI()*F$1*$A250)/6)</f>
        <v>0.143999240039661</v>
      </c>
      <c r="G250" s="1" t="n">
        <f aca="false">G$2*COS((PI()*G$1*$A250)/6)</f>
        <v>-0.144634499999995</v>
      </c>
      <c r="H250" s="1" t="n">
        <f aca="false">H$2*SIN((PI()*H$1*$A250)/6)</f>
        <v>-0.499983312392279</v>
      </c>
      <c r="I250" s="1" t="n">
        <f aca="false">I$2*COS((PI()*I$1*$A250)/6)</f>
        <v>0.086102</v>
      </c>
      <c r="J250" s="1" t="n">
        <f aca="false">J$2*SIN((PI()*J$1*$A250)/6)</f>
        <v>9.76580296793206E-016</v>
      </c>
      <c r="K250" s="1" t="n">
        <f aca="false">K$2*COS((PI()*K$1*$A250)/6)</f>
        <v>-0.029283000000002</v>
      </c>
      <c r="L250" s="1" t="n">
        <f aca="false">L$2*SIN((PI()*L$1*$A250)/6)</f>
        <v>0.0149874356378932</v>
      </c>
      <c r="M250" s="1" t="n">
        <f aca="false">M$2*COS((PI()*M$1*$A250)/6)</f>
        <v>0.00132500000000002</v>
      </c>
      <c r="N250" s="1" t="n">
        <f aca="false">N$2*SIN((PI()*N$1*$A250)/6)</f>
        <v>0.0100320382774389</v>
      </c>
      <c r="O250" s="2" t="n">
        <f aca="false">O$2*(-1)^(A250)</f>
        <v>0.114941</v>
      </c>
      <c r="P250" s="2" t="n">
        <f aca="false">100*LN(C250)</f>
        <v>470.288655949416</v>
      </c>
      <c r="Q250" s="2" t="n">
        <f aca="false">SUM(E250:O250)</f>
        <v>-0.222019098437282</v>
      </c>
      <c r="R250" s="2" t="n">
        <f aca="false">P250-Q250</f>
        <v>470.510675047853</v>
      </c>
      <c r="S250" s="1" t="n">
        <f aca="false">EXP(R250/100)</f>
        <v>110.51008132189</v>
      </c>
      <c r="T250" s="2"/>
      <c r="U250" s="2"/>
      <c r="V250" s="4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L250" s="2"/>
      <c r="AM250" s="5"/>
      <c r="AN250" s="2"/>
      <c r="AO250" s="2"/>
      <c r="AP250" s="2"/>
      <c r="AR250" s="2"/>
      <c r="AS250" s="2"/>
      <c r="AT250" s="2"/>
      <c r="AU250" s="2"/>
      <c r="AW250" s="2"/>
      <c r="AX250" s="2"/>
      <c r="AY250" s="2"/>
      <c r="AZ250" s="2"/>
      <c r="BB250" s="2"/>
      <c r="BC250" s="2"/>
      <c r="BD250" s="2"/>
      <c r="BE250" s="2"/>
    </row>
    <row r="251" customFormat="false" ht="12.8" hidden="false" customHeight="false" outlineLevel="0" collapsed="false">
      <c r="R251" s="2"/>
      <c r="S251" s="2"/>
      <c r="T251" s="2"/>
      <c r="U251" s="2"/>
      <c r="V251" s="4"/>
      <c r="W251" s="2"/>
      <c r="X251" s="2"/>
    </row>
    <row r="253" customFormat="false" ht="12.8" hidden="false" customHeight="false" outlineLevel="0" collapsed="false">
      <c r="R253" s="2" t="s">
        <v>255</v>
      </c>
      <c r="S253" s="2"/>
      <c r="T253" s="2"/>
      <c r="W253" s="2"/>
    </row>
    <row r="254" customFormat="false" ht="12.8" hidden="false" customHeight="false" outlineLevel="0" collapsed="false">
      <c r="R254" s="2" t="s">
        <v>256</v>
      </c>
      <c r="S254" s="2"/>
    </row>
    <row r="255" customFormat="false" ht="12.8" hidden="false" customHeight="false" outlineLevel="0" collapsed="false">
      <c r="R255" s="2" t="s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2026-03-16T12:18:28Z</dcterms:created>
  <dc:creator/>
  <dc:description/>
  <dc:language>en-US</dc:language>
  <cp:lastModifiedBy/>
  <dcterms:modified xsi:type="dcterms:W3CDTF">2026-03-16T12:21:29Z</dcterms:modified>
  <cp:revision>1</cp:revision>
  <dc:subject/>
  <dc:title/>
</cp:coreProperties>
</file>